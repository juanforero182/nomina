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R_HH\1. Grupo Empresarial INGECOL SAS\NOMINA ELECTRONICA\2025\7. JULIO\"/>
    </mc:Choice>
  </mc:AlternateContent>
  <xr:revisionPtr revIDLastSave="0" documentId="8_{95F9AFBD-15BE-4580-BBAE-754DC03BB540}" xr6:coauthVersionLast="47" xr6:coauthVersionMax="47" xr10:uidLastSave="{00000000-0000-0000-0000-000000000000}"/>
  <bookViews>
    <workbookView xWindow="28680" yWindow="-120" windowWidth="29040" windowHeight="15720" activeTab="5" xr2:uid="{2AA91E76-87E7-4F5C-A6E8-83F575E557A9}"/>
  </bookViews>
  <sheets>
    <sheet name="038" sheetId="7" r:id="rId1"/>
    <sheet name="MDL" sheetId="6" r:id="rId2"/>
    <sheet name="010" sheetId="5" r:id="rId3"/>
    <sheet name="040" sheetId="4" r:id="rId4"/>
    <sheet name="INK" sheetId="3" r:id="rId5"/>
    <sheet name="001" sheetId="2" r:id="rId6"/>
    <sheet name="Hoja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8" i="2" l="1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F28" i="2"/>
  <c r="E28" i="2"/>
  <c r="F13" i="7"/>
  <c r="F14" i="7" s="1"/>
  <c r="F12" i="3"/>
  <c r="F10" i="4"/>
  <c r="F10" i="5"/>
  <c r="F10" i="6"/>
  <c r="Q13" i="7"/>
  <c r="Q14" i="7" s="1"/>
  <c r="E13" i="7"/>
  <c r="E14" i="7" s="1"/>
  <c r="E12" i="3"/>
  <c r="E10" i="4"/>
  <c r="E10" i="5"/>
  <c r="I13" i="7"/>
  <c r="I14" i="7" s="1"/>
</calcChain>
</file>

<file path=xl/sharedStrings.xml><?xml version="1.0" encoding="utf-8"?>
<sst xmlns="http://schemas.openxmlformats.org/spreadsheetml/2006/main" count="427" uniqueCount="157">
  <si>
    <t>GRUPO EMPRESARIAL INGECOL S.A.S.</t>
  </si>
  <si>
    <t>NIT. 900379869-5</t>
  </si>
  <si>
    <t>PLANILLA DE LIQUIDACION</t>
  </si>
  <si>
    <t>PERIODO : ,"LFI0000000354","07-30-2025  ","07-01-2025  ","LV10000000221","01-30-2025  ","01-01-2026  ","LV10000000223","01-30-2025  ","01-01-2026  ","NM10000000273","07-30-2025  ","07-01-2025  ","LV10000000200","07-30-2025  ","07-01-2025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</si>
  <si>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</si>
  <si>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</si>
  <si>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</si>
  <si>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</si>
  <si>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</si>
  <si>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</si>
  <si>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</si>
  <si>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</si>
  <si>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</si>
  <si>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</si>
  <si>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CESANTIAS LIQUIDADAS</t>
  </si>
  <si>
    <t>VACACIONES LIQUIDADAS</t>
  </si>
  <si>
    <t>PRIMA LIQUIDADA</t>
  </si>
  <si>
    <t>INTERES A LAS CESANTIAS</t>
  </si>
  <si>
    <t>INC.ENFERMEDAD GRAL (EPS)</t>
  </si>
  <si>
    <t>INC.ENFERMEDAD GRAL (EMPRESA)</t>
  </si>
  <si>
    <t>TOTAL DEVENGADO</t>
  </si>
  <si>
    <t>FONDO SOLIDARIDAD PENSIONAL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</si>
  <si>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</si>
  <si>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</si>
  <si>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</si>
  <si>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</si>
  <si>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</si>
  <si>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</si>
  <si>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51994458        </t>
  </si>
  <si>
    <t xml:space="preserve">51994458-01  </t>
  </si>
  <si>
    <t xml:space="preserve">ACUÑA ESPINOSA MARIA ISABEL                                                                                                                                     </t>
  </si>
  <si>
    <t xml:space="preserve">SERVICIOS VARIOS                        </t>
  </si>
  <si>
    <t xml:space="preserve">81715224        </t>
  </si>
  <si>
    <t xml:space="preserve">81715224-01  </t>
  </si>
  <si>
    <t xml:space="preserve">GONZALEZ CARDENAS JAIME ANDRES                                                                                                                                  </t>
  </si>
  <si>
    <t xml:space="preserve">AUXILIAR ADMINISTRATIVA                 </t>
  </si>
  <si>
    <t xml:space="preserve">1006003410      </t>
  </si>
  <si>
    <t>1006003410-01</t>
  </si>
  <si>
    <t xml:space="preserve">GUAYARA SALGAR YINED                                                                                                                                            </t>
  </si>
  <si>
    <t xml:space="preserve">COORDINADORA DE COMPRAS                 </t>
  </si>
  <si>
    <t xml:space="preserve">11227762        </t>
  </si>
  <si>
    <t xml:space="preserve">11227762-01  </t>
  </si>
  <si>
    <t xml:space="preserve">LEAL GOMEZ CAMILO JOAQUIN                                                                                                                                       </t>
  </si>
  <si>
    <t xml:space="preserve">AUXILIAR DE INGENIERIA                  </t>
  </si>
  <si>
    <t xml:space="preserve">93383917        </t>
  </si>
  <si>
    <t xml:space="preserve">93383917-01  </t>
  </si>
  <si>
    <t xml:space="preserve">MARIN LOPEZ JOHN JAIRO                                                                                                                                          </t>
  </si>
  <si>
    <t xml:space="preserve">RESIDENTE SISO                          </t>
  </si>
  <si>
    <t xml:space="preserve">23946001        </t>
  </si>
  <si>
    <t xml:space="preserve">23946001-01  </t>
  </si>
  <si>
    <t xml:space="preserve">NINY ROSMIRA PEDRAZA PLAZAS                                                                                                                                     </t>
  </si>
  <si>
    <t xml:space="preserve">COORDINADOR DE PROYECTO                 </t>
  </si>
  <si>
    <t xml:space="preserve">1110521885      </t>
  </si>
  <si>
    <t>1110521885-05</t>
  </si>
  <si>
    <t xml:space="preserve">ORTIZ RAYO ANGGY KATHERINE                                                                                                                                      </t>
  </si>
  <si>
    <t xml:space="preserve">                                        </t>
  </si>
  <si>
    <t xml:space="preserve">79958305        </t>
  </si>
  <si>
    <t xml:space="preserve">79958305-02  </t>
  </si>
  <si>
    <t xml:space="preserve">RADA RAYO JOSE LUIS                                                                                                                                             </t>
  </si>
  <si>
    <t xml:space="preserve">GERENTE DE CONSULTORIAS                 </t>
  </si>
  <si>
    <t xml:space="preserve">1033770643      </t>
  </si>
  <si>
    <t>1033770643-01</t>
  </si>
  <si>
    <t xml:space="preserve">SALAS VIDES HEIDY SHIRLEY                                                                                                                                       </t>
  </si>
  <si>
    <t xml:space="preserve">AUXILIAR CONTABLE                       </t>
  </si>
  <si>
    <t xml:space="preserve">1019083095      </t>
  </si>
  <si>
    <t>1019083095-03</t>
  </si>
  <si>
    <t xml:space="preserve">TORRES RODRIGUEZ KATHERINE MELISSA                                                                                                                              </t>
  </si>
  <si>
    <t xml:space="preserve">CONTADOR                                </t>
  </si>
  <si>
    <t xml:space="preserve">1032482183      </t>
  </si>
  <si>
    <t>1032482183-02</t>
  </si>
  <si>
    <t xml:space="preserve">TORRES ROMERO DIEGO RICARDO                                                                                                                                     </t>
  </si>
  <si>
    <t xml:space="preserve">INGENIERO DE APOYO 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</si>
  <si>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</si>
  <si>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</si>
  <si>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</si>
  <si>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</si>
  <si>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</si>
  <si>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</si>
  <si>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</si>
  <si>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010</t>
  </si>
  <si>
    <t xml:space="preserve">CESANTIAS LIQUIDADAS                    </t>
  </si>
  <si>
    <t>011</t>
  </si>
  <si>
    <t xml:space="preserve">VACACIONES LIQUIDADAS                   </t>
  </si>
  <si>
    <t>012</t>
  </si>
  <si>
    <t xml:space="preserve">PRIMA LIQUIDADA                         </t>
  </si>
  <si>
    <t>014</t>
  </si>
  <si>
    <t xml:space="preserve">INTERES A LAS CESANTIAS                 </t>
  </si>
  <si>
    <t>050</t>
  </si>
  <si>
    <t xml:space="preserve">INC.ENFERMEDAD GRAL (EPS)               </t>
  </si>
  <si>
    <t>051</t>
  </si>
  <si>
    <t xml:space="preserve">INC.ENFERMEDAD GRAL (EMPRESA)           </t>
  </si>
  <si>
    <t>505</t>
  </si>
  <si>
    <t xml:space="preserve">FONDO SOLIDARIDAD PENSIONAL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</si>
  <si>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</si>
  <si>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</si>
  <si>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</si>
  <si>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</si>
  <si>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</si>
  <si>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</si>
  <si>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</si>
  <si>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</si>
  <si>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</si>
  <si>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860066942       </t>
  </si>
  <si>
    <t xml:space="preserve">COMPENSAR  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</si>
  <si>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</si>
  <si>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800224808       </t>
  </si>
  <si>
    <t xml:space="preserve">FONDO DE PENSIONES OBLIGATORIAS PORVENIR MODERADO                                                                                                               </t>
  </si>
  <si>
    <t xml:space="preserve">PENSION EMPLEADOR   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</si>
  <si>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</si>
  <si>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</si>
  <si>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</si>
  <si>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</si>
  <si>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</si>
  <si>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</si>
  <si>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</si>
  <si>
    <t>AUXILIO</t>
  </si>
  <si>
    <t xml:space="preserve">ANDENES ZONA 4                                                                  </t>
  </si>
  <si>
    <t xml:space="preserve">79065088        </t>
  </si>
  <si>
    <t xml:space="preserve">79065088-03  </t>
  </si>
  <si>
    <t xml:space="preserve">ALVAREZ VIVAS JULIAN                                                                                                                                            </t>
  </si>
  <si>
    <t xml:space="preserve">INGENIERO RESIDENTE                     </t>
  </si>
  <si>
    <t xml:space="preserve">1000857925      </t>
  </si>
  <si>
    <t>1000857925-01</t>
  </si>
  <si>
    <t xml:space="preserve">BOLIVAR CORREA JOHAN DAVID                                                                                                                                      </t>
  </si>
  <si>
    <t xml:space="preserve">INSPECTOR VERIFICADOR                   </t>
  </si>
  <si>
    <t xml:space="preserve">1016027528      </t>
  </si>
  <si>
    <t>1016027528-03</t>
  </si>
  <si>
    <t xml:space="preserve">SANCHEZ VALENCIA JOHANA CAMILA                                                                                                                                  </t>
  </si>
  <si>
    <t xml:space="preserve">PROFESIONAL SOCIAL                      </t>
  </si>
  <si>
    <t>003</t>
  </si>
  <si>
    <t xml:space="preserve">AUXILIO                                 </t>
  </si>
  <si>
    <t xml:space="preserve">800227940       </t>
  </si>
  <si>
    <t xml:space="preserve">FONDO DE PENSIONES OBLIGATORIAS COLFONDOS MODERADO                                                                                                              </t>
  </si>
  <si>
    <t xml:space="preserve">INASKA                                                                          </t>
  </si>
  <si>
    <t xml:space="preserve">1005850468      </t>
  </si>
  <si>
    <t>1005850468-02</t>
  </si>
  <si>
    <t xml:space="preserve">LOZANO OLAYA DANA MARCELA                                                                                                                                       </t>
  </si>
  <si>
    <t xml:space="preserve">INSPECTORA SISO                         </t>
  </si>
  <si>
    <t xml:space="preserve">LA MAMONUDA                                                                     </t>
  </si>
  <si>
    <t xml:space="preserve">5973500         </t>
  </si>
  <si>
    <t xml:space="preserve">5973500-01   </t>
  </si>
  <si>
    <t xml:space="preserve">LOZANO LOZANO FLORENTINO                                                                                                                                        </t>
  </si>
  <si>
    <t xml:space="preserve">CONDUCTOR                               </t>
  </si>
  <si>
    <t xml:space="preserve">MEDELLIN                                                                        </t>
  </si>
  <si>
    <t xml:space="preserve">1067712437      </t>
  </si>
  <si>
    <t>1067712437-01</t>
  </si>
  <si>
    <t xml:space="preserve">TORRES MARTINEZ JUAN VICENTE                                                                                                                                    </t>
  </si>
  <si>
    <t xml:space="preserve">CONSERJE                                </t>
  </si>
  <si>
    <t xml:space="preserve">890900841       </t>
  </si>
  <si>
    <t xml:space="preserve">COMFAMA CAJA DE OCMPENSACION FAMILIAR DE ANTIOQUIA                                                                                                              </t>
  </si>
  <si>
    <t xml:space="preserve">RIVERAING                                                                       </t>
  </si>
  <si>
    <t xml:space="preserve">79536019        </t>
  </si>
  <si>
    <t xml:space="preserve">79536019-02  </t>
  </si>
  <si>
    <t xml:space="preserve">CASTRO SANCHEZ MELVIN ALIRIO                                                                                                                                    </t>
  </si>
  <si>
    <t xml:space="preserve">1019078610      </t>
  </si>
  <si>
    <t>1019078610-01</t>
  </si>
  <si>
    <t xml:space="preserve">JAIMES LOPEZ ANDRES MAURICIO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</si>
</sst>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4" fontId="0" fillId="3" borderId="0" xfId="0" applyNumberForma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92CC-2311-439D-A470-3198E6587582}">
  <dimension ref="A1:Q24"/>
  <sheetViews>
    <sheetView workbookViewId="0">
      <selection activeCell="A9" sqref="A9:XFD10"/>
    </sheetView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150</v>
      </c>
    </row>
    <row r="9" spans="1:17" x14ac:dyDescent="0.3">
      <c r="A9" s="6" t="s">
        <v>151</v>
      </c>
      <c r="B9" s="6" t="s">
        <v>152</v>
      </c>
      <c r="C9" s="6" t="s">
        <v>153</v>
      </c>
      <c r="D9" s="6" t="s">
        <v>120</v>
      </c>
      <c r="E9" s="7">
        <v>3156000</v>
      </c>
      <c r="F9" s="8">
        <v>30</v>
      </c>
      <c r="G9" s="8">
        <v>0</v>
      </c>
      <c r="H9" s="8">
        <v>0</v>
      </c>
      <c r="I9" s="7">
        <v>3156000</v>
      </c>
      <c r="K9" s="7">
        <v>500000</v>
      </c>
      <c r="L9" s="7">
        <v>3656000</v>
      </c>
      <c r="N9" s="7">
        <v>126300</v>
      </c>
      <c r="O9" s="7">
        <v>126300</v>
      </c>
      <c r="P9" s="7">
        <v>252600</v>
      </c>
      <c r="Q9" s="7">
        <v>3403400</v>
      </c>
    </row>
    <row r="10" spans="1:17" x14ac:dyDescent="0.3">
      <c r="A10" s="6" t="s">
        <v>154</v>
      </c>
      <c r="B10" s="6" t="s">
        <v>155</v>
      </c>
      <c r="C10" s="6" t="s">
        <v>156</v>
      </c>
      <c r="D10" s="6" t="s">
        <v>120</v>
      </c>
      <c r="E10" s="7">
        <v>2630000</v>
      </c>
      <c r="F10" s="8">
        <v>30</v>
      </c>
      <c r="G10" s="8">
        <v>0</v>
      </c>
      <c r="H10" s="8">
        <v>0</v>
      </c>
      <c r="I10" s="7">
        <v>2630000</v>
      </c>
      <c r="J10" s="7">
        <v>200000</v>
      </c>
      <c r="L10" s="7">
        <v>2830000</v>
      </c>
      <c r="M10" s="7">
        <v>380000</v>
      </c>
      <c r="N10" s="7">
        <v>105200</v>
      </c>
      <c r="O10" s="7">
        <v>105200</v>
      </c>
      <c r="P10" s="7">
        <v>590400</v>
      </c>
      <c r="Q10" s="7">
        <v>2239600</v>
      </c>
    </row>
    <row r="11" spans="1:17" x14ac:dyDescent="0.3">
      <c r="B11" s="9" t="s">
        <v>72</v>
      </c>
      <c r="I11" s="10">
        <v>5786000</v>
      </c>
      <c r="J11" s="10">
        <v>200000</v>
      </c>
      <c r="K11" s="10">
        <v>500000</v>
      </c>
      <c r="L11" s="10">
        <v>6486000</v>
      </c>
      <c r="M11" s="10">
        <v>380000</v>
      </c>
      <c r="N11" s="10">
        <v>231500</v>
      </c>
      <c r="O11" s="10">
        <v>231500</v>
      </c>
      <c r="P11" s="10">
        <v>843000</v>
      </c>
      <c r="Q11" s="10">
        <v>5643000</v>
      </c>
    </row>
    <row r="13" spans="1:17" x14ac:dyDescent="0.3">
      <c r="A13" s="11" t="s">
        <v>73</v>
      </c>
      <c r="B13" s="11" t="s">
        <v>74</v>
      </c>
      <c r="C13" s="11"/>
      <c r="E13" s="7">
        <f>+MDL!E10+'010'!E10+'040'!E10+INK!E12+'001'!E28</f>
        <v>70069300</v>
      </c>
      <c r="F13" s="7">
        <f>+MDL!F10+'010'!F10+'040'!F10+INK!F12+'001'!F28</f>
        <v>687</v>
      </c>
      <c r="I13" s="7">
        <f>+MDL!I10+'010'!I10+'040'!I10+INK!I12+'001'!I28</f>
        <v>64985098</v>
      </c>
      <c r="Q13" s="7">
        <f>+MDL!Q10+'010'!Q10+'040'!P10+INK!Q12+'001'!X28</f>
        <v>85905572</v>
      </c>
    </row>
    <row r="14" spans="1:17" x14ac:dyDescent="0.3">
      <c r="A14" s="6" t="s">
        <v>75</v>
      </c>
      <c r="B14" s="6" t="s">
        <v>76</v>
      </c>
      <c r="C14" s="10">
        <v>5786000</v>
      </c>
      <c r="E14" s="12">
        <f>+E13+E10+E9</f>
        <v>75855300</v>
      </c>
      <c r="F14" s="12">
        <f>+F9+F10+F13</f>
        <v>747</v>
      </c>
      <c r="I14" s="12">
        <f>+I11+I13</f>
        <v>70771098</v>
      </c>
      <c r="Q14" s="7">
        <f>+Q11+Q13</f>
        <v>91548572</v>
      </c>
    </row>
    <row r="15" spans="1:17" x14ac:dyDescent="0.3">
      <c r="A15" s="6" t="s">
        <v>77</v>
      </c>
      <c r="B15" s="6" t="s">
        <v>78</v>
      </c>
      <c r="C15" s="10">
        <v>200000</v>
      </c>
    </row>
    <row r="16" spans="1:17" x14ac:dyDescent="0.3">
      <c r="A16" s="6" t="s">
        <v>129</v>
      </c>
      <c r="B16" s="6" t="s">
        <v>130</v>
      </c>
      <c r="C16" s="10">
        <v>500000</v>
      </c>
    </row>
    <row r="17" spans="1:4" x14ac:dyDescent="0.3">
      <c r="A17" s="6" t="s">
        <v>93</v>
      </c>
      <c r="B17" s="6" t="s">
        <v>94</v>
      </c>
      <c r="C17" s="10">
        <v>380000</v>
      </c>
    </row>
    <row r="18" spans="1:4" x14ac:dyDescent="0.3">
      <c r="A18" s="6" t="s">
        <v>95</v>
      </c>
      <c r="B18" s="6" t="s">
        <v>96</v>
      </c>
      <c r="C18" s="10">
        <v>231500</v>
      </c>
    </row>
    <row r="19" spans="1:4" x14ac:dyDescent="0.3">
      <c r="A19" s="6" t="s">
        <v>97</v>
      </c>
      <c r="B19" s="6" t="s">
        <v>98</v>
      </c>
      <c r="C19" s="10">
        <v>231500</v>
      </c>
    </row>
    <row r="21" spans="1:4" x14ac:dyDescent="0.3">
      <c r="A21" s="11" t="s">
        <v>99</v>
      </c>
      <c r="B21" s="11" t="s">
        <v>100</v>
      </c>
      <c r="C21" s="11" t="s">
        <v>101</v>
      </c>
      <c r="D21" s="11"/>
    </row>
    <row r="22" spans="1:4" x14ac:dyDescent="0.3">
      <c r="A22" s="6" t="s">
        <v>102</v>
      </c>
      <c r="B22" s="6" t="s">
        <v>103</v>
      </c>
      <c r="C22" s="6" t="s">
        <v>104</v>
      </c>
      <c r="D22" s="10">
        <v>231500</v>
      </c>
    </row>
    <row r="23" spans="1:4" x14ac:dyDescent="0.3">
      <c r="A23" s="6" t="s">
        <v>108</v>
      </c>
      <c r="B23" s="6" t="s">
        <v>109</v>
      </c>
      <c r="C23" s="6" t="s">
        <v>107</v>
      </c>
      <c r="D23" s="10">
        <v>694400</v>
      </c>
    </row>
    <row r="24" spans="1:4" x14ac:dyDescent="0.3">
      <c r="A24" s="6" t="s">
        <v>112</v>
      </c>
      <c r="B24" s="6" t="s">
        <v>113</v>
      </c>
      <c r="C24" s="6" t="s">
        <v>114</v>
      </c>
      <c r="D24" s="10">
        <v>402800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25A7-C788-46AE-BB13-D086C73CDE21}">
  <dimension ref="A1:Q23"/>
  <sheetViews>
    <sheetView workbookViewId="0">
      <selection activeCell="A9" sqref="A9:Q9"/>
    </sheetView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15</v>
      </c>
      <c r="M7" s="4" t="s">
        <v>20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143</v>
      </c>
    </row>
    <row r="9" spans="1:17" x14ac:dyDescent="0.3">
      <c r="A9" s="6" t="s">
        <v>144</v>
      </c>
      <c r="B9" s="6" t="s">
        <v>145</v>
      </c>
      <c r="C9" s="6" t="s">
        <v>146</v>
      </c>
      <c r="D9" s="6" t="s">
        <v>147</v>
      </c>
      <c r="E9" s="7">
        <v>1423500</v>
      </c>
      <c r="F9" s="8">
        <v>30</v>
      </c>
      <c r="G9" s="8">
        <v>4</v>
      </c>
      <c r="H9" s="8">
        <v>0</v>
      </c>
      <c r="I9" s="7">
        <v>1423500</v>
      </c>
      <c r="J9" s="7">
        <v>200000</v>
      </c>
      <c r="K9" s="7">
        <v>300000</v>
      </c>
      <c r="L9" s="7">
        <v>233454</v>
      </c>
      <c r="M9" s="7">
        <v>2156954</v>
      </c>
      <c r="N9" s="7">
        <v>66400</v>
      </c>
      <c r="O9" s="7">
        <v>66400</v>
      </c>
      <c r="P9" s="7">
        <v>132800</v>
      </c>
      <c r="Q9" s="7">
        <v>2024154</v>
      </c>
    </row>
    <row r="10" spans="1:17" x14ac:dyDescent="0.3">
      <c r="B10" s="9" t="s">
        <v>72</v>
      </c>
      <c r="E10" s="10">
        <v>1423500</v>
      </c>
      <c r="F10" s="8">
        <f>+F9</f>
        <v>30</v>
      </c>
      <c r="I10" s="10">
        <v>1423500</v>
      </c>
      <c r="J10" s="10">
        <v>200000</v>
      </c>
      <c r="K10" s="10">
        <v>300000</v>
      </c>
      <c r="L10" s="10">
        <v>233454</v>
      </c>
      <c r="M10" s="10">
        <v>2156954</v>
      </c>
      <c r="N10" s="10">
        <v>66400</v>
      </c>
      <c r="O10" s="10">
        <v>66400</v>
      </c>
      <c r="P10" s="10">
        <v>132800</v>
      </c>
      <c r="Q10" s="10">
        <v>2024154</v>
      </c>
    </row>
    <row r="12" spans="1:17" x14ac:dyDescent="0.3">
      <c r="A12" s="11" t="s">
        <v>73</v>
      </c>
      <c r="B12" s="11" t="s">
        <v>74</v>
      </c>
      <c r="C12" s="11"/>
    </row>
    <row r="13" spans="1:17" x14ac:dyDescent="0.3">
      <c r="A13" s="6" t="s">
        <v>75</v>
      </c>
      <c r="B13" s="6" t="s">
        <v>76</v>
      </c>
      <c r="C13" s="10">
        <v>1423500</v>
      </c>
    </row>
    <row r="14" spans="1:17" x14ac:dyDescent="0.3">
      <c r="A14" s="6" t="s">
        <v>77</v>
      </c>
      <c r="B14" s="6" t="s">
        <v>78</v>
      </c>
      <c r="C14" s="10">
        <v>200000</v>
      </c>
    </row>
    <row r="15" spans="1:17" x14ac:dyDescent="0.3">
      <c r="A15" s="6" t="s">
        <v>129</v>
      </c>
      <c r="B15" s="6" t="s">
        <v>130</v>
      </c>
      <c r="C15" s="10">
        <v>300000</v>
      </c>
    </row>
    <row r="16" spans="1:17" x14ac:dyDescent="0.3">
      <c r="A16" s="6" t="s">
        <v>81</v>
      </c>
      <c r="B16" s="6" t="s">
        <v>82</v>
      </c>
      <c r="C16" s="10">
        <v>233454</v>
      </c>
    </row>
    <row r="17" spans="1:4" x14ac:dyDescent="0.3">
      <c r="A17" s="6" t="s">
        <v>95</v>
      </c>
      <c r="B17" s="6" t="s">
        <v>96</v>
      </c>
      <c r="C17" s="10">
        <v>66400</v>
      </c>
    </row>
    <row r="18" spans="1:4" x14ac:dyDescent="0.3">
      <c r="A18" s="6" t="s">
        <v>97</v>
      </c>
      <c r="B18" s="6" t="s">
        <v>98</v>
      </c>
      <c r="C18" s="10">
        <v>66400</v>
      </c>
    </row>
    <row r="20" spans="1:4" x14ac:dyDescent="0.3">
      <c r="A20" s="11" t="s">
        <v>99</v>
      </c>
      <c r="B20" s="11" t="s">
        <v>100</v>
      </c>
      <c r="C20" s="11" t="s">
        <v>101</v>
      </c>
      <c r="D20" s="11"/>
    </row>
    <row r="21" spans="1:4" x14ac:dyDescent="0.3">
      <c r="A21" s="6" t="s">
        <v>148</v>
      </c>
      <c r="B21" s="6" t="s">
        <v>149</v>
      </c>
      <c r="C21" s="6" t="s">
        <v>104</v>
      </c>
      <c r="D21" s="10">
        <v>66400</v>
      </c>
    </row>
    <row r="22" spans="1:4" x14ac:dyDescent="0.3">
      <c r="A22" s="6" t="s">
        <v>105</v>
      </c>
      <c r="B22" s="6" t="s">
        <v>106</v>
      </c>
      <c r="C22" s="6" t="s">
        <v>107</v>
      </c>
      <c r="D22" s="10">
        <v>199000</v>
      </c>
    </row>
    <row r="23" spans="1:4" x14ac:dyDescent="0.3">
      <c r="A23" s="6" t="s">
        <v>112</v>
      </c>
      <c r="B23" s="6" t="s">
        <v>113</v>
      </c>
      <c r="C23" s="6" t="s">
        <v>114</v>
      </c>
      <c r="D23" s="10">
        <v>99100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7E3B-ECC5-4EB2-9E01-124F372727FD}">
  <dimension ref="A1:Q23"/>
  <sheetViews>
    <sheetView workbookViewId="0">
      <selection activeCell="A9" sqref="A9:Q9"/>
    </sheetView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138</v>
      </c>
    </row>
    <row r="9" spans="1:17" x14ac:dyDescent="0.3">
      <c r="A9" s="6" t="s">
        <v>139</v>
      </c>
      <c r="B9" s="6" t="s">
        <v>140</v>
      </c>
      <c r="C9" s="6" t="s">
        <v>141</v>
      </c>
      <c r="D9" s="6" t="s">
        <v>142</v>
      </c>
      <c r="E9" s="7">
        <v>1821000</v>
      </c>
      <c r="F9" s="8">
        <v>30</v>
      </c>
      <c r="G9" s="8">
        <v>0</v>
      </c>
      <c r="H9" s="8">
        <v>0</v>
      </c>
      <c r="I9" s="7">
        <v>1821000</v>
      </c>
      <c r="J9" s="7">
        <v>200000</v>
      </c>
      <c r="K9" s="7">
        <v>89667</v>
      </c>
      <c r="L9" s="7">
        <v>2110667</v>
      </c>
      <c r="M9" s="7">
        <v>200000</v>
      </c>
      <c r="N9" s="7">
        <v>72900</v>
      </c>
      <c r="O9" s="7">
        <v>72900</v>
      </c>
      <c r="P9" s="7">
        <v>345800</v>
      </c>
      <c r="Q9" s="7">
        <v>1764867</v>
      </c>
    </row>
    <row r="10" spans="1:17" x14ac:dyDescent="0.3">
      <c r="B10" s="9" t="s">
        <v>72</v>
      </c>
      <c r="E10" s="7">
        <f>+E9</f>
        <v>1821000</v>
      </c>
      <c r="F10" s="8">
        <f>+F9</f>
        <v>30</v>
      </c>
      <c r="I10" s="10">
        <v>1821000</v>
      </c>
      <c r="J10" s="10">
        <v>200000</v>
      </c>
      <c r="K10" s="10">
        <v>89667</v>
      </c>
      <c r="L10" s="10">
        <v>2110667</v>
      </c>
      <c r="M10" s="10">
        <v>200000</v>
      </c>
      <c r="N10" s="10">
        <v>72900</v>
      </c>
      <c r="O10" s="10">
        <v>72900</v>
      </c>
      <c r="P10" s="10">
        <v>345800</v>
      </c>
      <c r="Q10" s="10">
        <v>1764867</v>
      </c>
    </row>
    <row r="12" spans="1:17" x14ac:dyDescent="0.3">
      <c r="A12" s="11" t="s">
        <v>73</v>
      </c>
      <c r="B12" s="11" t="s">
        <v>74</v>
      </c>
      <c r="C12" s="11"/>
    </row>
    <row r="13" spans="1:17" x14ac:dyDescent="0.3">
      <c r="A13" s="6" t="s">
        <v>75</v>
      </c>
      <c r="B13" s="6" t="s">
        <v>76</v>
      </c>
      <c r="C13" s="10">
        <v>1821000</v>
      </c>
    </row>
    <row r="14" spans="1:17" x14ac:dyDescent="0.3">
      <c r="A14" s="6" t="s">
        <v>77</v>
      </c>
      <c r="B14" s="6" t="s">
        <v>78</v>
      </c>
      <c r="C14" s="10">
        <v>200000</v>
      </c>
    </row>
    <row r="15" spans="1:17" x14ac:dyDescent="0.3">
      <c r="A15" s="6" t="s">
        <v>129</v>
      </c>
      <c r="B15" s="6" t="s">
        <v>130</v>
      </c>
      <c r="C15" s="10">
        <v>89667</v>
      </c>
    </row>
    <row r="16" spans="1:17" x14ac:dyDescent="0.3">
      <c r="A16" s="6" t="s">
        <v>93</v>
      </c>
      <c r="B16" s="6" t="s">
        <v>94</v>
      </c>
      <c r="C16" s="10">
        <v>200000</v>
      </c>
    </row>
    <row r="17" spans="1:4" x14ac:dyDescent="0.3">
      <c r="A17" s="6" t="s">
        <v>95</v>
      </c>
      <c r="B17" s="6" t="s">
        <v>96</v>
      </c>
      <c r="C17" s="10">
        <v>72900</v>
      </c>
    </row>
    <row r="18" spans="1:4" x14ac:dyDescent="0.3">
      <c r="A18" s="6" t="s">
        <v>97</v>
      </c>
      <c r="B18" s="6" t="s">
        <v>98</v>
      </c>
      <c r="C18" s="10">
        <v>72900</v>
      </c>
    </row>
    <row r="20" spans="1:4" x14ac:dyDescent="0.3">
      <c r="A20" s="11" t="s">
        <v>99</v>
      </c>
      <c r="B20" s="11" t="s">
        <v>100</v>
      </c>
      <c r="C20" s="11" t="s">
        <v>101</v>
      </c>
      <c r="D20" s="11"/>
    </row>
    <row r="21" spans="1:4" x14ac:dyDescent="0.3">
      <c r="A21" s="6" t="s">
        <v>102</v>
      </c>
      <c r="B21" s="6" t="s">
        <v>103</v>
      </c>
      <c r="C21" s="6" t="s">
        <v>104</v>
      </c>
      <c r="D21" s="10">
        <v>72900</v>
      </c>
    </row>
    <row r="22" spans="1:4" x14ac:dyDescent="0.3">
      <c r="A22" s="6" t="s">
        <v>108</v>
      </c>
      <c r="B22" s="6" t="s">
        <v>109</v>
      </c>
      <c r="C22" s="6" t="s">
        <v>107</v>
      </c>
      <c r="D22" s="10">
        <v>218600</v>
      </c>
    </row>
    <row r="23" spans="1:4" x14ac:dyDescent="0.3">
      <c r="A23" s="6" t="s">
        <v>112</v>
      </c>
      <c r="B23" s="6" t="s">
        <v>113</v>
      </c>
      <c r="C23" s="6" t="s">
        <v>114</v>
      </c>
      <c r="D23" s="10">
        <v>126800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AF6D-B8D4-4C03-BBC8-DE33A51D8C6E}">
  <dimension ref="A1:P22"/>
  <sheetViews>
    <sheetView workbookViewId="0">
      <selection activeCell="A9" sqref="A9:P9"/>
    </sheetView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6" ht="19.8" x14ac:dyDescent="0.45">
      <c r="A1" s="2" t="s">
        <v>0</v>
      </c>
    </row>
    <row r="2" spans="1:16" x14ac:dyDescent="0.3">
      <c r="A2" s="1" t="s">
        <v>1</v>
      </c>
    </row>
    <row r="4" spans="1:16" x14ac:dyDescent="0.3">
      <c r="A4" s="1" t="s">
        <v>2</v>
      </c>
    </row>
    <row r="5" spans="1:16" x14ac:dyDescent="0.3">
      <c r="A5" s="1" t="s">
        <v>3</v>
      </c>
    </row>
    <row r="7" spans="1:16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23</v>
      </c>
      <c r="N7" s="4" t="s">
        <v>24</v>
      </c>
      <c r="O7" s="4" t="s">
        <v>25</v>
      </c>
      <c r="P7" s="4" t="s">
        <v>26</v>
      </c>
    </row>
    <row r="8" spans="1:16" ht="16.8" x14ac:dyDescent="0.4">
      <c r="A8" s="5" t="s">
        <v>133</v>
      </c>
    </row>
    <row r="9" spans="1:16" x14ac:dyDescent="0.3">
      <c r="A9" s="6" t="s">
        <v>134</v>
      </c>
      <c r="B9" s="6" t="s">
        <v>135</v>
      </c>
      <c r="C9" s="6" t="s">
        <v>136</v>
      </c>
      <c r="D9" s="6" t="s">
        <v>137</v>
      </c>
      <c r="E9" s="7">
        <v>2000000</v>
      </c>
      <c r="F9" s="8">
        <v>7</v>
      </c>
      <c r="G9" s="8">
        <v>0</v>
      </c>
      <c r="H9" s="8">
        <v>0</v>
      </c>
      <c r="I9" s="7">
        <v>466667</v>
      </c>
      <c r="J9" s="7">
        <v>46667</v>
      </c>
      <c r="K9" s="7">
        <v>70000</v>
      </c>
      <c r="L9" s="7">
        <v>583334</v>
      </c>
      <c r="M9" s="7">
        <v>18700</v>
      </c>
      <c r="N9" s="7">
        <v>18700</v>
      </c>
      <c r="O9" s="7">
        <v>37400</v>
      </c>
      <c r="P9" s="7">
        <v>545934</v>
      </c>
    </row>
    <row r="10" spans="1:16" x14ac:dyDescent="0.3">
      <c r="B10" s="9" t="s">
        <v>72</v>
      </c>
      <c r="E10" s="7">
        <f>+E9</f>
        <v>2000000</v>
      </c>
      <c r="F10" s="8">
        <f>+F9</f>
        <v>7</v>
      </c>
      <c r="I10" s="10">
        <v>466667</v>
      </c>
      <c r="J10" s="10">
        <v>46667</v>
      </c>
      <c r="K10" s="10">
        <v>70000</v>
      </c>
      <c r="L10" s="10">
        <v>583334</v>
      </c>
      <c r="M10" s="10">
        <v>18700</v>
      </c>
      <c r="N10" s="10">
        <v>18700</v>
      </c>
      <c r="O10" s="10">
        <v>37400</v>
      </c>
      <c r="P10" s="10">
        <v>545934</v>
      </c>
    </row>
    <row r="12" spans="1:16" x14ac:dyDescent="0.3">
      <c r="A12" s="11" t="s">
        <v>73</v>
      </c>
      <c r="B12" s="11" t="s">
        <v>74</v>
      </c>
      <c r="C12" s="11"/>
    </row>
    <row r="13" spans="1:16" x14ac:dyDescent="0.3">
      <c r="A13" s="6" t="s">
        <v>75</v>
      </c>
      <c r="B13" s="6" t="s">
        <v>76</v>
      </c>
      <c r="C13" s="10">
        <v>466667</v>
      </c>
    </row>
    <row r="14" spans="1:16" x14ac:dyDescent="0.3">
      <c r="A14" s="6" t="s">
        <v>77</v>
      </c>
      <c r="B14" s="6" t="s">
        <v>78</v>
      </c>
      <c r="C14" s="10">
        <v>46667</v>
      </c>
    </row>
    <row r="15" spans="1:16" x14ac:dyDescent="0.3">
      <c r="A15" s="6" t="s">
        <v>129</v>
      </c>
      <c r="B15" s="6" t="s">
        <v>130</v>
      </c>
      <c r="C15" s="10">
        <v>70000</v>
      </c>
    </row>
    <row r="16" spans="1:16" x14ac:dyDescent="0.3">
      <c r="A16" s="6" t="s">
        <v>95</v>
      </c>
      <c r="B16" s="6" t="s">
        <v>96</v>
      </c>
      <c r="C16" s="10">
        <v>18700</v>
      </c>
    </row>
    <row r="17" spans="1:4" x14ac:dyDescent="0.3">
      <c r="A17" s="6" t="s">
        <v>97</v>
      </c>
      <c r="B17" s="6" t="s">
        <v>98</v>
      </c>
      <c r="C17" s="10">
        <v>18700</v>
      </c>
    </row>
    <row r="19" spans="1:4" x14ac:dyDescent="0.3">
      <c r="A19" s="11" t="s">
        <v>99</v>
      </c>
      <c r="B19" s="11" t="s">
        <v>100</v>
      </c>
      <c r="C19" s="11" t="s">
        <v>101</v>
      </c>
      <c r="D19" s="11"/>
    </row>
    <row r="20" spans="1:4" x14ac:dyDescent="0.3">
      <c r="A20" s="6" t="s">
        <v>102</v>
      </c>
      <c r="B20" s="6" t="s">
        <v>103</v>
      </c>
      <c r="C20" s="6" t="s">
        <v>104</v>
      </c>
      <c r="D20" s="10">
        <v>18700</v>
      </c>
    </row>
    <row r="21" spans="1:4" x14ac:dyDescent="0.3">
      <c r="A21" s="6" t="s">
        <v>110</v>
      </c>
      <c r="B21" s="6" t="s">
        <v>111</v>
      </c>
      <c r="C21" s="6" t="s">
        <v>107</v>
      </c>
      <c r="D21" s="10">
        <v>56000</v>
      </c>
    </row>
    <row r="22" spans="1:4" x14ac:dyDescent="0.3">
      <c r="A22" s="6" t="s">
        <v>112</v>
      </c>
      <c r="B22" s="6" t="s">
        <v>113</v>
      </c>
      <c r="C22" s="6" t="s">
        <v>114</v>
      </c>
      <c r="D22" s="10">
        <v>32500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AF5E-434F-438D-BADF-9B25F85BC0E9}">
  <dimension ref="A1:Q26"/>
  <sheetViews>
    <sheetView workbookViewId="0">
      <selection activeCell="A9" sqref="A9:XFD11"/>
    </sheetView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15</v>
      </c>
      <c r="M7" s="4" t="s">
        <v>20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116</v>
      </c>
    </row>
    <row r="9" spans="1:17" x14ac:dyDescent="0.3">
      <c r="A9" s="6" t="s">
        <v>117</v>
      </c>
      <c r="B9" s="6" t="s">
        <v>118</v>
      </c>
      <c r="C9" s="6" t="s">
        <v>119</v>
      </c>
      <c r="D9" s="6" t="s">
        <v>120</v>
      </c>
      <c r="E9" s="7">
        <v>4523600</v>
      </c>
      <c r="F9" s="8">
        <v>25</v>
      </c>
      <c r="G9" s="8">
        <v>5</v>
      </c>
      <c r="H9" s="8">
        <v>0</v>
      </c>
      <c r="I9" s="7">
        <v>3769667</v>
      </c>
      <c r="K9" s="7">
        <v>1250000</v>
      </c>
      <c r="L9" s="7">
        <v>753933</v>
      </c>
      <c r="M9" s="7">
        <v>5773600</v>
      </c>
      <c r="N9" s="7">
        <v>181000</v>
      </c>
      <c r="O9" s="7">
        <v>181000</v>
      </c>
      <c r="P9" s="7">
        <v>362000</v>
      </c>
      <c r="Q9" s="7">
        <v>5411600</v>
      </c>
    </row>
    <row r="10" spans="1:17" x14ac:dyDescent="0.3">
      <c r="A10" s="6" t="s">
        <v>121</v>
      </c>
      <c r="B10" s="6" t="s">
        <v>122</v>
      </c>
      <c r="C10" s="6" t="s">
        <v>123</v>
      </c>
      <c r="D10" s="6" t="s">
        <v>124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K10" s="7">
        <v>450000</v>
      </c>
      <c r="M10" s="7">
        <v>2073500</v>
      </c>
      <c r="N10" s="7">
        <v>57000</v>
      </c>
      <c r="O10" s="7">
        <v>57000</v>
      </c>
      <c r="P10" s="7">
        <v>114000</v>
      </c>
      <c r="Q10" s="7">
        <v>1959500</v>
      </c>
    </row>
    <row r="11" spans="1:17" x14ac:dyDescent="0.3">
      <c r="A11" s="6" t="s">
        <v>125</v>
      </c>
      <c r="B11" s="6" t="s">
        <v>126</v>
      </c>
      <c r="C11" s="6" t="s">
        <v>127</v>
      </c>
      <c r="D11" s="6" t="s">
        <v>128</v>
      </c>
      <c r="E11" s="7">
        <v>1423500</v>
      </c>
      <c r="F11" s="8">
        <v>30</v>
      </c>
      <c r="G11" s="8">
        <v>0</v>
      </c>
      <c r="H11" s="8">
        <v>0</v>
      </c>
      <c r="I11" s="7">
        <v>1423500</v>
      </c>
      <c r="J11" s="7">
        <v>200000</v>
      </c>
      <c r="K11" s="7">
        <v>560000</v>
      </c>
      <c r="M11" s="7">
        <v>2183500</v>
      </c>
      <c r="N11" s="7">
        <v>57000</v>
      </c>
      <c r="O11" s="7">
        <v>57000</v>
      </c>
      <c r="P11" s="7">
        <v>114000</v>
      </c>
      <c r="Q11" s="7">
        <v>2069500</v>
      </c>
    </row>
    <row r="12" spans="1:17" x14ac:dyDescent="0.3">
      <c r="B12" s="9" t="s">
        <v>72</v>
      </c>
      <c r="E12" s="7">
        <f>SUM(E9:E11)</f>
        <v>7370600</v>
      </c>
      <c r="F12" s="7">
        <f>SUM(F9:F11)</f>
        <v>85</v>
      </c>
      <c r="I12" s="10">
        <v>6616667</v>
      </c>
      <c r="J12" s="10">
        <v>400000</v>
      </c>
      <c r="K12" s="10">
        <v>2260000</v>
      </c>
      <c r="L12" s="10">
        <v>753933</v>
      </c>
      <c r="M12" s="10">
        <v>10030600</v>
      </c>
      <c r="N12" s="10">
        <v>295000</v>
      </c>
      <c r="O12" s="10">
        <v>295000</v>
      </c>
      <c r="P12" s="10">
        <v>590000</v>
      </c>
      <c r="Q12" s="10">
        <v>9440600</v>
      </c>
    </row>
    <row r="14" spans="1:17" x14ac:dyDescent="0.3">
      <c r="A14" s="11" t="s">
        <v>73</v>
      </c>
      <c r="B14" s="11" t="s">
        <v>74</v>
      </c>
      <c r="C14" s="11"/>
    </row>
    <row r="15" spans="1:17" x14ac:dyDescent="0.3">
      <c r="A15" s="6" t="s">
        <v>75</v>
      </c>
      <c r="B15" s="6" t="s">
        <v>76</v>
      </c>
      <c r="C15" s="10">
        <v>6616667</v>
      </c>
    </row>
    <row r="16" spans="1:17" x14ac:dyDescent="0.3">
      <c r="A16" s="6" t="s">
        <v>77</v>
      </c>
      <c r="B16" s="6" t="s">
        <v>78</v>
      </c>
      <c r="C16" s="10">
        <v>400000</v>
      </c>
    </row>
    <row r="17" spans="1:4" x14ac:dyDescent="0.3">
      <c r="A17" s="6" t="s">
        <v>129</v>
      </c>
      <c r="B17" s="6" t="s">
        <v>130</v>
      </c>
      <c r="C17" s="10">
        <v>2260000</v>
      </c>
    </row>
    <row r="18" spans="1:4" x14ac:dyDescent="0.3">
      <c r="A18" s="6" t="s">
        <v>81</v>
      </c>
      <c r="B18" s="6" t="s">
        <v>82</v>
      </c>
      <c r="C18" s="10">
        <v>753933</v>
      </c>
    </row>
    <row r="19" spans="1:4" x14ac:dyDescent="0.3">
      <c r="A19" s="6" t="s">
        <v>95</v>
      </c>
      <c r="B19" s="6" t="s">
        <v>96</v>
      </c>
      <c r="C19" s="10">
        <v>295000</v>
      </c>
    </row>
    <row r="20" spans="1:4" x14ac:dyDescent="0.3">
      <c r="A20" s="6" t="s">
        <v>97</v>
      </c>
      <c r="B20" s="6" t="s">
        <v>98</v>
      </c>
      <c r="C20" s="10">
        <v>295000</v>
      </c>
    </row>
    <row r="22" spans="1:4" x14ac:dyDescent="0.3">
      <c r="A22" s="11" t="s">
        <v>99</v>
      </c>
      <c r="B22" s="11" t="s">
        <v>100</v>
      </c>
      <c r="C22" s="11" t="s">
        <v>101</v>
      </c>
      <c r="D22" s="11"/>
    </row>
    <row r="23" spans="1:4" x14ac:dyDescent="0.3">
      <c r="A23" s="6" t="s">
        <v>102</v>
      </c>
      <c r="B23" s="6" t="s">
        <v>103</v>
      </c>
      <c r="C23" s="6" t="s">
        <v>104</v>
      </c>
      <c r="D23" s="10">
        <v>295000</v>
      </c>
    </row>
    <row r="24" spans="1:4" x14ac:dyDescent="0.3">
      <c r="A24" s="6" t="s">
        <v>105</v>
      </c>
      <c r="B24" s="6" t="s">
        <v>106</v>
      </c>
      <c r="C24" s="6" t="s">
        <v>107</v>
      </c>
      <c r="D24" s="10">
        <v>713800</v>
      </c>
    </row>
    <row r="25" spans="1:4" x14ac:dyDescent="0.3">
      <c r="A25" s="6" t="s">
        <v>131</v>
      </c>
      <c r="B25" s="6" t="s">
        <v>132</v>
      </c>
      <c r="C25" s="6" t="s">
        <v>107</v>
      </c>
      <c r="D25" s="10">
        <v>170900</v>
      </c>
    </row>
    <row r="26" spans="1:4" x14ac:dyDescent="0.3">
      <c r="A26" s="6" t="s">
        <v>112</v>
      </c>
      <c r="B26" s="6" t="s">
        <v>113</v>
      </c>
      <c r="C26" s="6" t="s">
        <v>114</v>
      </c>
      <c r="D26" s="10">
        <v>460600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1617-D1AB-4A90-96D8-A417BD85A8F3}">
  <dimension ref="A1:X49"/>
  <sheetViews>
    <sheetView tabSelected="1" topLeftCell="I3" workbookViewId="0">
      <selection activeCell="K28" sqref="K28"/>
    </sheetView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8" width="14.625" customWidth="1"/>
  </cols>
  <sheetData>
    <row r="1" spans="1:24" ht="19.8" x14ac:dyDescent="0.45">
      <c r="A1" s="2" t="s">
        <v>0</v>
      </c>
    </row>
    <row r="2" spans="1:24" x14ac:dyDescent="0.3">
      <c r="A2" s="1" t="s">
        <v>1</v>
      </c>
    </row>
    <row r="4" spans="1:24" x14ac:dyDescent="0.3">
      <c r="A4" s="1" t="s">
        <v>2</v>
      </c>
    </row>
    <row r="5" spans="1:24" x14ac:dyDescent="0.3">
      <c r="A5" s="1" t="s">
        <v>3</v>
      </c>
    </row>
    <row r="7" spans="1:24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</row>
    <row r="8" spans="1:24" ht="16.8" x14ac:dyDescent="0.4">
      <c r="A8" s="5" t="s">
        <v>27</v>
      </c>
    </row>
    <row r="9" spans="1:24" x14ac:dyDescent="0.3">
      <c r="A9" s="6" t="s">
        <v>28</v>
      </c>
      <c r="B9" s="6" t="s">
        <v>29</v>
      </c>
      <c r="C9" s="6" t="s">
        <v>30</v>
      </c>
      <c r="D9" s="6" t="s">
        <v>31</v>
      </c>
      <c r="E9" s="7">
        <v>1423500</v>
      </c>
      <c r="F9" s="8">
        <v>30</v>
      </c>
      <c r="G9" s="8">
        <v>5</v>
      </c>
      <c r="H9" s="8">
        <v>0</v>
      </c>
      <c r="I9" s="7">
        <v>1423500</v>
      </c>
      <c r="J9" s="7">
        <v>200000</v>
      </c>
      <c r="K9" s="7"/>
      <c r="M9" s="7">
        <v>291818</v>
      </c>
      <c r="R9" s="7">
        <v>1915318</v>
      </c>
      <c r="U9" s="7">
        <v>68700</v>
      </c>
      <c r="V9" s="7">
        <v>68700</v>
      </c>
      <c r="W9" s="7">
        <v>137400</v>
      </c>
      <c r="X9" s="7">
        <v>1777918</v>
      </c>
    </row>
    <row r="10" spans="1:24" x14ac:dyDescent="0.3">
      <c r="A10" s="6" t="s">
        <v>32</v>
      </c>
      <c r="B10" s="6" t="s">
        <v>33</v>
      </c>
      <c r="C10" s="6" t="s">
        <v>34</v>
      </c>
      <c r="D10" s="6" t="s">
        <v>35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K10" s="7"/>
      <c r="R10" s="7">
        <v>1623500</v>
      </c>
      <c r="U10" s="7">
        <v>57000</v>
      </c>
      <c r="V10" s="7">
        <v>57000</v>
      </c>
      <c r="W10" s="7">
        <v>114000</v>
      </c>
      <c r="X10" s="7">
        <v>1509500</v>
      </c>
    </row>
    <row r="11" spans="1:24" x14ac:dyDescent="0.3">
      <c r="A11" s="6" t="s">
        <v>36</v>
      </c>
      <c r="B11" s="6" t="s">
        <v>37</v>
      </c>
      <c r="C11" s="6" t="s">
        <v>38</v>
      </c>
      <c r="D11" s="6" t="s">
        <v>39</v>
      </c>
      <c r="E11" s="7">
        <v>2184300</v>
      </c>
      <c r="F11" s="8">
        <v>23</v>
      </c>
      <c r="G11" s="8">
        <v>0</v>
      </c>
      <c r="H11" s="8">
        <v>7</v>
      </c>
      <c r="I11" s="7">
        <v>1674630</v>
      </c>
      <c r="J11" s="7">
        <v>153333</v>
      </c>
      <c r="K11" s="7"/>
      <c r="P11" s="7">
        <v>237250</v>
      </c>
      <c r="Q11" s="7">
        <v>145620</v>
      </c>
      <c r="R11" s="7">
        <v>2210833</v>
      </c>
      <c r="U11" s="7">
        <v>82300</v>
      </c>
      <c r="V11" s="7">
        <v>82300</v>
      </c>
      <c r="W11" s="7">
        <v>164600</v>
      </c>
      <c r="X11" s="7">
        <v>2046233</v>
      </c>
    </row>
    <row r="12" spans="1:24" x14ac:dyDescent="0.3">
      <c r="A12" s="6" t="s">
        <v>40</v>
      </c>
      <c r="B12" s="6" t="s">
        <v>41</v>
      </c>
      <c r="C12" s="6" t="s">
        <v>42</v>
      </c>
      <c r="D12" s="6" t="s">
        <v>43</v>
      </c>
      <c r="E12" s="7">
        <v>2185200</v>
      </c>
      <c r="F12" s="8">
        <v>30</v>
      </c>
      <c r="G12" s="8">
        <v>0</v>
      </c>
      <c r="H12" s="8">
        <v>0</v>
      </c>
      <c r="I12" s="7">
        <v>2185200</v>
      </c>
      <c r="J12" s="7">
        <v>200000</v>
      </c>
      <c r="K12" s="7"/>
      <c r="R12" s="7">
        <v>2385200</v>
      </c>
      <c r="U12" s="7">
        <v>87500</v>
      </c>
      <c r="V12" s="7">
        <v>87500</v>
      </c>
      <c r="W12" s="7">
        <v>175000</v>
      </c>
      <c r="X12" s="7">
        <v>2210200</v>
      </c>
    </row>
    <row r="13" spans="1:24" x14ac:dyDescent="0.3">
      <c r="A13" s="6" t="s">
        <v>44</v>
      </c>
      <c r="B13" s="6" t="s">
        <v>45</v>
      </c>
      <c r="C13" s="6" t="s">
        <v>46</v>
      </c>
      <c r="D13" s="6" t="s">
        <v>47</v>
      </c>
      <c r="E13" s="7">
        <v>4363400</v>
      </c>
      <c r="F13" s="8">
        <v>30</v>
      </c>
      <c r="G13" s="8">
        <v>0</v>
      </c>
      <c r="H13" s="8">
        <v>0</v>
      </c>
      <c r="I13" s="7">
        <v>4363400</v>
      </c>
      <c r="R13" s="7">
        <v>4363400</v>
      </c>
      <c r="U13" s="7">
        <v>174600</v>
      </c>
      <c r="V13" s="7">
        <v>174600</v>
      </c>
      <c r="W13" s="7">
        <v>349200</v>
      </c>
      <c r="X13" s="7">
        <v>4014200</v>
      </c>
    </row>
    <row r="14" spans="1:24" x14ac:dyDescent="0.3">
      <c r="A14" s="6" t="s">
        <v>48</v>
      </c>
      <c r="B14" s="6" t="s">
        <v>49</v>
      </c>
      <c r="C14" s="6" t="s">
        <v>50</v>
      </c>
      <c r="D14" s="6" t="s">
        <v>51</v>
      </c>
      <c r="E14" s="7">
        <v>5000000</v>
      </c>
      <c r="F14" s="8">
        <v>30</v>
      </c>
      <c r="G14" s="8">
        <v>0</v>
      </c>
      <c r="H14" s="8">
        <v>0</v>
      </c>
      <c r="I14" s="7">
        <v>5000000</v>
      </c>
      <c r="R14" s="7">
        <v>5000000</v>
      </c>
      <c r="U14" s="7">
        <v>200000</v>
      </c>
      <c r="V14" s="7">
        <v>200000</v>
      </c>
      <c r="W14" s="7">
        <v>400000</v>
      </c>
      <c r="X14" s="7">
        <v>4600000</v>
      </c>
    </row>
    <row r="15" spans="1:24" x14ac:dyDescent="0.3">
      <c r="A15" s="6" t="s">
        <v>52</v>
      </c>
      <c r="B15" s="6" t="s">
        <v>53</v>
      </c>
      <c r="C15" s="6" t="s">
        <v>54</v>
      </c>
      <c r="D15" s="6" t="s">
        <v>55</v>
      </c>
      <c r="E15" s="7">
        <v>4125800</v>
      </c>
      <c r="F15" s="8">
        <v>30</v>
      </c>
      <c r="G15" s="8">
        <v>0</v>
      </c>
      <c r="H15" s="8">
        <v>0</v>
      </c>
      <c r="I15" s="7">
        <v>4125800</v>
      </c>
      <c r="R15" s="7">
        <v>4125800</v>
      </c>
      <c r="U15" s="7">
        <v>165100</v>
      </c>
      <c r="V15" s="7">
        <v>165100</v>
      </c>
      <c r="W15" s="7">
        <v>330200</v>
      </c>
      <c r="X15" s="7">
        <v>3795600</v>
      </c>
    </row>
    <row r="16" spans="1:24" x14ac:dyDescent="0.3">
      <c r="A16" s="6" t="s">
        <v>56</v>
      </c>
      <c r="B16" s="6" t="s">
        <v>57</v>
      </c>
      <c r="C16" s="6" t="s">
        <v>58</v>
      </c>
      <c r="D16" s="6" t="s">
        <v>59</v>
      </c>
      <c r="E16" s="7">
        <v>8047400</v>
      </c>
      <c r="F16" s="8">
        <v>30</v>
      </c>
      <c r="G16" s="8">
        <v>990</v>
      </c>
      <c r="H16" s="8">
        <v>0</v>
      </c>
      <c r="I16" s="7">
        <v>8047400</v>
      </c>
      <c r="L16" s="7">
        <v>4694317</v>
      </c>
      <c r="M16" s="7">
        <v>11065175</v>
      </c>
      <c r="N16" s="7">
        <v>670617</v>
      </c>
      <c r="O16" s="7">
        <v>328602</v>
      </c>
      <c r="R16" s="7">
        <v>24806111</v>
      </c>
      <c r="S16" s="7">
        <v>80500</v>
      </c>
      <c r="U16" s="7">
        <v>321900</v>
      </c>
      <c r="V16" s="7">
        <v>321900</v>
      </c>
      <c r="W16" s="7">
        <v>724300</v>
      </c>
      <c r="X16" s="7">
        <v>24081811</v>
      </c>
    </row>
    <row r="17" spans="1:24" x14ac:dyDescent="0.3">
      <c r="A17" s="6" t="s">
        <v>60</v>
      </c>
      <c r="B17" s="6" t="s">
        <v>61</v>
      </c>
      <c r="C17" s="6" t="s">
        <v>62</v>
      </c>
      <c r="D17" s="6" t="s">
        <v>63</v>
      </c>
      <c r="E17" s="7">
        <v>1800000</v>
      </c>
      <c r="F17" s="8">
        <v>30</v>
      </c>
      <c r="G17" s="8">
        <v>0</v>
      </c>
      <c r="H17" s="8">
        <v>0</v>
      </c>
      <c r="I17" s="7">
        <v>1800000</v>
      </c>
      <c r="J17" s="7">
        <v>200000</v>
      </c>
      <c r="K17" s="7"/>
      <c r="R17" s="7">
        <v>2000000</v>
      </c>
      <c r="U17" s="7">
        <v>72000</v>
      </c>
      <c r="V17" s="7">
        <v>72000</v>
      </c>
      <c r="W17" s="7">
        <v>144000</v>
      </c>
      <c r="X17" s="7">
        <v>1856000</v>
      </c>
    </row>
    <row r="18" spans="1:24" x14ac:dyDescent="0.3">
      <c r="A18" s="6" t="s">
        <v>64</v>
      </c>
      <c r="B18" s="6" t="s">
        <v>65</v>
      </c>
      <c r="C18" s="6" t="s">
        <v>66</v>
      </c>
      <c r="D18" s="6" t="s">
        <v>67</v>
      </c>
      <c r="E18" s="7">
        <v>4500000</v>
      </c>
      <c r="F18" s="8">
        <v>30</v>
      </c>
      <c r="G18" s="8">
        <v>0</v>
      </c>
      <c r="H18" s="8">
        <v>0</v>
      </c>
      <c r="I18" s="7">
        <v>4500000</v>
      </c>
      <c r="R18" s="7">
        <v>4500000</v>
      </c>
      <c r="U18" s="7">
        <v>180000</v>
      </c>
      <c r="V18" s="7">
        <v>180000</v>
      </c>
      <c r="W18" s="7">
        <v>360000</v>
      </c>
      <c r="X18" s="7">
        <v>4140000</v>
      </c>
    </row>
    <row r="19" spans="1:24" x14ac:dyDescent="0.3">
      <c r="A19" s="6" t="s">
        <v>68</v>
      </c>
      <c r="B19" s="6" t="s">
        <v>69</v>
      </c>
      <c r="C19" s="6" t="s">
        <v>70</v>
      </c>
      <c r="D19" s="6" t="s">
        <v>71</v>
      </c>
      <c r="E19" s="7">
        <v>4000000</v>
      </c>
      <c r="F19" s="8">
        <v>30</v>
      </c>
      <c r="G19" s="8">
        <v>0</v>
      </c>
      <c r="H19" s="8">
        <v>0</v>
      </c>
      <c r="I19" s="7">
        <v>4000000</v>
      </c>
      <c r="R19" s="7">
        <v>4000000</v>
      </c>
      <c r="T19" s="7">
        <v>1000000</v>
      </c>
      <c r="U19" s="7">
        <v>160000</v>
      </c>
      <c r="V19" s="7">
        <v>160000</v>
      </c>
      <c r="W19" s="7">
        <v>1320000</v>
      </c>
      <c r="X19" s="7">
        <v>2680000</v>
      </c>
    </row>
    <row r="20" spans="1:24" x14ac:dyDescent="0.3">
      <c r="A20" s="6" t="s">
        <v>151</v>
      </c>
      <c r="B20" s="6" t="s">
        <v>152</v>
      </c>
      <c r="C20" s="6" t="s">
        <v>153</v>
      </c>
      <c r="D20" s="6" t="s">
        <v>120</v>
      </c>
      <c r="E20" s="7">
        <v>3156000</v>
      </c>
      <c r="F20" s="8">
        <v>30</v>
      </c>
      <c r="G20" s="8">
        <v>0</v>
      </c>
      <c r="H20" s="8">
        <v>0</v>
      </c>
      <c r="I20" s="7">
        <v>3156000</v>
      </c>
      <c r="K20" s="7">
        <v>500000</v>
      </c>
      <c r="L20" s="7"/>
      <c r="M20" s="7"/>
      <c r="N20" s="7"/>
      <c r="O20" s="7"/>
      <c r="P20" s="7"/>
      <c r="Q20" s="7"/>
      <c r="R20" s="7">
        <v>3656000</v>
      </c>
      <c r="U20" s="7">
        <v>126300</v>
      </c>
      <c r="V20" s="7">
        <v>126300</v>
      </c>
      <c r="W20" s="7">
        <v>252600</v>
      </c>
      <c r="X20" s="7">
        <v>3403400</v>
      </c>
    </row>
    <row r="21" spans="1:24" x14ac:dyDescent="0.3">
      <c r="A21" s="6" t="s">
        <v>154</v>
      </c>
      <c r="B21" s="6" t="s">
        <v>155</v>
      </c>
      <c r="C21" s="6" t="s">
        <v>156</v>
      </c>
      <c r="D21" s="6" t="s">
        <v>120</v>
      </c>
      <c r="E21" s="7">
        <v>2630000</v>
      </c>
      <c r="F21" s="8">
        <v>30</v>
      </c>
      <c r="G21" s="8">
        <v>0</v>
      </c>
      <c r="H21" s="8">
        <v>0</v>
      </c>
      <c r="I21" s="7">
        <v>2630000</v>
      </c>
      <c r="J21" s="7">
        <v>200000</v>
      </c>
      <c r="R21" s="7">
        <v>2830000</v>
      </c>
      <c r="T21" s="7">
        <v>380000</v>
      </c>
      <c r="U21" s="7">
        <v>105200</v>
      </c>
      <c r="V21" s="7">
        <v>105200</v>
      </c>
      <c r="W21" s="7">
        <v>590400</v>
      </c>
      <c r="X21" s="7">
        <v>2239600</v>
      </c>
    </row>
    <row r="22" spans="1:24" x14ac:dyDescent="0.3">
      <c r="A22" s="6" t="s">
        <v>144</v>
      </c>
      <c r="B22" s="6" t="s">
        <v>145</v>
      </c>
      <c r="C22" s="6" t="s">
        <v>146</v>
      </c>
      <c r="D22" s="6" t="s">
        <v>147</v>
      </c>
      <c r="E22" s="7">
        <v>1423500</v>
      </c>
      <c r="F22" s="8">
        <v>30</v>
      </c>
      <c r="G22" s="8">
        <v>4</v>
      </c>
      <c r="H22" s="8">
        <v>0</v>
      </c>
      <c r="I22" s="7">
        <v>1423500</v>
      </c>
      <c r="J22" s="7">
        <v>200000</v>
      </c>
      <c r="K22" s="7">
        <v>300000</v>
      </c>
      <c r="M22" s="7">
        <v>233454</v>
      </c>
      <c r="R22" s="7">
        <v>2156954</v>
      </c>
      <c r="U22" s="7">
        <v>66400</v>
      </c>
      <c r="V22" s="7">
        <v>66400</v>
      </c>
      <c r="W22" s="7">
        <v>132800</v>
      </c>
      <c r="X22" s="7">
        <v>2024154</v>
      </c>
    </row>
    <row r="23" spans="1:24" x14ac:dyDescent="0.3">
      <c r="A23" s="6" t="s">
        <v>139</v>
      </c>
      <c r="B23" s="6" t="s">
        <v>140</v>
      </c>
      <c r="C23" s="6" t="s">
        <v>141</v>
      </c>
      <c r="D23" s="6" t="s">
        <v>142</v>
      </c>
      <c r="E23" s="7">
        <v>1821000</v>
      </c>
      <c r="F23" s="8">
        <v>30</v>
      </c>
      <c r="G23" s="8">
        <v>0</v>
      </c>
      <c r="H23" s="8">
        <v>0</v>
      </c>
      <c r="I23" s="7">
        <v>1821000</v>
      </c>
      <c r="J23" s="7">
        <v>200000</v>
      </c>
      <c r="K23" s="7">
        <v>89667</v>
      </c>
      <c r="R23" s="7">
        <v>2110667</v>
      </c>
      <c r="T23" s="7">
        <v>200000</v>
      </c>
      <c r="U23" s="7">
        <v>72900</v>
      </c>
      <c r="V23" s="7">
        <v>72900</v>
      </c>
      <c r="W23" s="7">
        <v>345800</v>
      </c>
      <c r="X23" s="7">
        <v>1764867</v>
      </c>
    </row>
    <row r="24" spans="1:24" x14ac:dyDescent="0.3">
      <c r="A24" s="6" t="s">
        <v>134</v>
      </c>
      <c r="B24" s="6" t="s">
        <v>135</v>
      </c>
      <c r="C24" s="6" t="s">
        <v>136</v>
      </c>
      <c r="D24" s="6" t="s">
        <v>137</v>
      </c>
      <c r="E24" s="7">
        <v>2000000</v>
      </c>
      <c r="F24" s="8">
        <v>7</v>
      </c>
      <c r="G24" s="8">
        <v>0</v>
      </c>
      <c r="H24" s="8">
        <v>0</v>
      </c>
      <c r="I24" s="7">
        <v>466667</v>
      </c>
      <c r="J24" s="7">
        <v>46667</v>
      </c>
      <c r="K24" s="7">
        <v>70000</v>
      </c>
      <c r="R24" s="7">
        <v>583334</v>
      </c>
      <c r="U24" s="7">
        <v>18700</v>
      </c>
      <c r="V24" s="7">
        <v>18700</v>
      </c>
      <c r="W24" s="7">
        <v>37400</v>
      </c>
      <c r="X24" s="7">
        <v>545934</v>
      </c>
    </row>
    <row r="25" spans="1:24" x14ac:dyDescent="0.3">
      <c r="A25" s="6" t="s">
        <v>117</v>
      </c>
      <c r="B25" s="6" t="s">
        <v>118</v>
      </c>
      <c r="C25" s="6" t="s">
        <v>119</v>
      </c>
      <c r="D25" s="6" t="s">
        <v>120</v>
      </c>
      <c r="E25" s="7">
        <v>4523600</v>
      </c>
      <c r="F25" s="8">
        <v>25</v>
      </c>
      <c r="G25" s="8">
        <v>5</v>
      </c>
      <c r="H25" s="8">
        <v>0</v>
      </c>
      <c r="I25" s="7">
        <v>3769667</v>
      </c>
      <c r="K25" s="7">
        <v>1250000</v>
      </c>
      <c r="M25" s="7">
        <v>753933</v>
      </c>
      <c r="R25" s="7">
        <v>5773600</v>
      </c>
      <c r="U25" s="7">
        <v>181000</v>
      </c>
      <c r="V25" s="7">
        <v>181000</v>
      </c>
      <c r="W25" s="7">
        <v>362000</v>
      </c>
      <c r="X25" s="7">
        <v>5411600</v>
      </c>
    </row>
    <row r="26" spans="1:24" x14ac:dyDescent="0.3">
      <c r="A26" s="6" t="s">
        <v>121</v>
      </c>
      <c r="B26" s="6" t="s">
        <v>122</v>
      </c>
      <c r="C26" s="6" t="s">
        <v>123</v>
      </c>
      <c r="D26" s="6" t="s">
        <v>124</v>
      </c>
      <c r="E26" s="7">
        <v>1423500</v>
      </c>
      <c r="F26" s="8">
        <v>30</v>
      </c>
      <c r="G26" s="8">
        <v>0</v>
      </c>
      <c r="H26" s="8">
        <v>0</v>
      </c>
      <c r="I26" s="7">
        <v>1423500</v>
      </c>
      <c r="J26" s="7">
        <v>200000</v>
      </c>
      <c r="K26" s="7">
        <v>450000</v>
      </c>
      <c r="R26" s="7">
        <v>2073500</v>
      </c>
      <c r="U26" s="7">
        <v>57000</v>
      </c>
      <c r="V26" s="7">
        <v>57000</v>
      </c>
      <c r="W26" s="7">
        <v>114000</v>
      </c>
      <c r="X26" s="7">
        <v>1959500</v>
      </c>
    </row>
    <row r="27" spans="1:24" x14ac:dyDescent="0.3">
      <c r="A27" s="6" t="s">
        <v>125</v>
      </c>
      <c r="B27" s="6" t="s">
        <v>126</v>
      </c>
      <c r="C27" s="6" t="s">
        <v>127</v>
      </c>
      <c r="D27" s="6" t="s">
        <v>128</v>
      </c>
      <c r="E27" s="7">
        <v>1423500</v>
      </c>
      <c r="F27" s="8">
        <v>30</v>
      </c>
      <c r="G27" s="8">
        <v>0</v>
      </c>
      <c r="H27" s="8">
        <v>0</v>
      </c>
      <c r="I27" s="7">
        <v>1423500</v>
      </c>
      <c r="J27" s="7">
        <v>200000</v>
      </c>
      <c r="K27" s="7">
        <v>560000</v>
      </c>
      <c r="R27" s="7">
        <v>2183500</v>
      </c>
      <c r="U27" s="7">
        <v>57000</v>
      </c>
      <c r="V27" s="7">
        <v>57000</v>
      </c>
      <c r="W27" s="7">
        <v>114000</v>
      </c>
      <c r="X27" s="7">
        <v>2069500</v>
      </c>
    </row>
    <row r="28" spans="1:24" x14ac:dyDescent="0.3">
      <c r="B28" s="9" t="s">
        <v>72</v>
      </c>
      <c r="E28" s="12">
        <f>SUM(E9:E27)</f>
        <v>57454200</v>
      </c>
      <c r="F28" s="12">
        <f>SUM(F9:F27)</f>
        <v>535</v>
      </c>
      <c r="I28" s="13">
        <f t="shared" ref="I28:X28" si="0">SUM(I9:I27)</f>
        <v>54657264</v>
      </c>
      <c r="J28" s="13">
        <f t="shared" si="0"/>
        <v>2000000</v>
      </c>
      <c r="K28" s="10">
        <f t="shared" si="0"/>
        <v>3219667</v>
      </c>
      <c r="L28" s="10">
        <f t="shared" si="0"/>
        <v>4694317</v>
      </c>
      <c r="M28" s="10">
        <f t="shared" si="0"/>
        <v>12344380</v>
      </c>
      <c r="N28" s="10">
        <f t="shared" si="0"/>
        <v>670617</v>
      </c>
      <c r="O28" s="10">
        <f t="shared" si="0"/>
        <v>328602</v>
      </c>
      <c r="P28" s="10">
        <f t="shared" si="0"/>
        <v>237250</v>
      </c>
      <c r="Q28" s="10">
        <f t="shared" si="0"/>
        <v>145620</v>
      </c>
      <c r="R28" s="13">
        <f t="shared" si="0"/>
        <v>78297717</v>
      </c>
      <c r="S28" s="10">
        <f t="shared" si="0"/>
        <v>80500</v>
      </c>
      <c r="T28" s="13">
        <f t="shared" si="0"/>
        <v>1580000</v>
      </c>
      <c r="U28" s="13">
        <f t="shared" si="0"/>
        <v>2253600</v>
      </c>
      <c r="V28" s="13">
        <f t="shared" si="0"/>
        <v>2253600</v>
      </c>
      <c r="W28" s="13">
        <f t="shared" si="0"/>
        <v>6167700</v>
      </c>
      <c r="X28" s="13">
        <f t="shared" si="0"/>
        <v>72130017</v>
      </c>
    </row>
    <row r="30" spans="1:24" x14ac:dyDescent="0.3">
      <c r="A30" s="11" t="s">
        <v>73</v>
      </c>
      <c r="B30" s="11" t="s">
        <v>74</v>
      </c>
      <c r="C30" s="11"/>
    </row>
    <row r="31" spans="1:24" x14ac:dyDescent="0.3">
      <c r="A31" s="6" t="s">
        <v>75</v>
      </c>
      <c r="B31" s="6" t="s">
        <v>76</v>
      </c>
      <c r="C31" s="10">
        <v>38543430</v>
      </c>
      <c r="F31" s="7"/>
    </row>
    <row r="32" spans="1:24" x14ac:dyDescent="0.3">
      <c r="A32" s="6" t="s">
        <v>77</v>
      </c>
      <c r="B32" s="6" t="s">
        <v>78</v>
      </c>
      <c r="C32" s="10">
        <v>953333</v>
      </c>
    </row>
    <row r="33" spans="1:4" x14ac:dyDescent="0.3">
      <c r="A33" s="6" t="s">
        <v>79</v>
      </c>
      <c r="B33" s="6" t="s">
        <v>80</v>
      </c>
      <c r="C33" s="10">
        <v>4694317</v>
      </c>
    </row>
    <row r="34" spans="1:4" x14ac:dyDescent="0.3">
      <c r="A34" s="6" t="s">
        <v>81</v>
      </c>
      <c r="B34" s="6" t="s">
        <v>82</v>
      </c>
      <c r="C34" s="10">
        <v>11356993</v>
      </c>
    </row>
    <row r="35" spans="1:4" x14ac:dyDescent="0.3">
      <c r="A35" s="6" t="s">
        <v>83</v>
      </c>
      <c r="B35" s="6" t="s">
        <v>84</v>
      </c>
      <c r="C35" s="10">
        <v>670617</v>
      </c>
    </row>
    <row r="36" spans="1:4" x14ac:dyDescent="0.3">
      <c r="A36" s="6" t="s">
        <v>85</v>
      </c>
      <c r="B36" s="6" t="s">
        <v>86</v>
      </c>
      <c r="C36" s="10">
        <v>328602</v>
      </c>
    </row>
    <row r="37" spans="1:4" x14ac:dyDescent="0.3">
      <c r="A37" s="6" t="s">
        <v>87</v>
      </c>
      <c r="B37" s="6" t="s">
        <v>88</v>
      </c>
      <c r="C37" s="10">
        <v>237250</v>
      </c>
    </row>
    <row r="38" spans="1:4" x14ac:dyDescent="0.3">
      <c r="A38" s="6" t="s">
        <v>89</v>
      </c>
      <c r="B38" s="6" t="s">
        <v>90</v>
      </c>
      <c r="C38" s="10">
        <v>145620</v>
      </c>
    </row>
    <row r="39" spans="1:4" x14ac:dyDescent="0.3">
      <c r="A39" s="6" t="s">
        <v>91</v>
      </c>
      <c r="B39" s="6" t="s">
        <v>92</v>
      </c>
      <c r="C39" s="10">
        <v>80500</v>
      </c>
    </row>
    <row r="40" spans="1:4" x14ac:dyDescent="0.3">
      <c r="A40" s="6" t="s">
        <v>93</v>
      </c>
      <c r="B40" s="6" t="s">
        <v>94</v>
      </c>
      <c r="C40" s="10">
        <v>1000000</v>
      </c>
    </row>
    <row r="41" spans="1:4" x14ac:dyDescent="0.3">
      <c r="A41" s="6" t="s">
        <v>95</v>
      </c>
      <c r="B41" s="6" t="s">
        <v>96</v>
      </c>
      <c r="C41" s="10">
        <v>1569100</v>
      </c>
    </row>
    <row r="42" spans="1:4" x14ac:dyDescent="0.3">
      <c r="A42" s="6" t="s">
        <v>97</v>
      </c>
      <c r="B42" s="6" t="s">
        <v>98</v>
      </c>
      <c r="C42" s="10">
        <v>1569100</v>
      </c>
    </row>
    <row r="44" spans="1:4" x14ac:dyDescent="0.3">
      <c r="A44" s="11" t="s">
        <v>99</v>
      </c>
      <c r="B44" s="11" t="s">
        <v>100</v>
      </c>
      <c r="C44" s="11" t="s">
        <v>101</v>
      </c>
      <c r="D44" s="11"/>
    </row>
    <row r="45" spans="1:4" x14ac:dyDescent="0.3">
      <c r="A45" s="6" t="s">
        <v>102</v>
      </c>
      <c r="B45" s="6" t="s">
        <v>103</v>
      </c>
      <c r="C45" s="6" t="s">
        <v>104</v>
      </c>
      <c r="D45" s="10">
        <v>1996500</v>
      </c>
    </row>
    <row r="46" spans="1:4" x14ac:dyDescent="0.3">
      <c r="A46" s="6" t="s">
        <v>105</v>
      </c>
      <c r="B46" s="6" t="s">
        <v>106</v>
      </c>
      <c r="C46" s="6" t="s">
        <v>107</v>
      </c>
      <c r="D46" s="10">
        <v>478300</v>
      </c>
    </row>
    <row r="47" spans="1:4" x14ac:dyDescent="0.3">
      <c r="A47" s="6" t="s">
        <v>108</v>
      </c>
      <c r="B47" s="6" t="s">
        <v>109</v>
      </c>
      <c r="C47" s="6" t="s">
        <v>107</v>
      </c>
      <c r="D47" s="10">
        <v>1282000</v>
      </c>
    </row>
    <row r="48" spans="1:4" x14ac:dyDescent="0.3">
      <c r="A48" s="6" t="s">
        <v>110</v>
      </c>
      <c r="B48" s="6" t="s">
        <v>111</v>
      </c>
      <c r="C48" s="6" t="s">
        <v>107</v>
      </c>
      <c r="D48" s="10">
        <v>2946300</v>
      </c>
    </row>
    <row r="49" spans="1:4" x14ac:dyDescent="0.3">
      <c r="A49" s="6" t="s">
        <v>112</v>
      </c>
      <c r="B49" s="6" t="s">
        <v>113</v>
      </c>
      <c r="C49" s="6" t="s">
        <v>114</v>
      </c>
      <c r="D49" s="10">
        <v>1664300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0523-8631-48D3-98BE-12B00F56A53A}">
  <dimension ref="A1"/>
  <sheetViews>
    <sheetView workbookViewId="0"/>
  </sheetViews>
  <sheetFormatPr baseColWidth="10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038</vt:lpstr>
      <vt:lpstr>MDL</vt:lpstr>
      <vt:lpstr>010</vt:lpstr>
      <vt:lpstr>040</vt:lpstr>
      <vt:lpstr>INK</vt:lpstr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Claro</dc:creator>
  <cp:lastModifiedBy>Diana Claro</cp:lastModifiedBy>
  <dcterms:created xsi:type="dcterms:W3CDTF">2026-04-14T16:27:55Z</dcterms:created>
  <dcterms:modified xsi:type="dcterms:W3CDTF">2026-04-14T16:57:10Z</dcterms:modified>
</cp:coreProperties>
</file>