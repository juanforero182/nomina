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R_HH\1. IES Ingenieros SAS\2.NOMINAELECTRONICA\2025\12. DICIEMBRE\"/>
    </mc:Choice>
  </mc:AlternateContent>
  <xr:revisionPtr revIDLastSave="0" documentId="13_ncr:1_{4AB2CF72-F39C-49F7-92CB-1C170422023B}" xr6:coauthVersionLast="47" xr6:coauthVersionMax="47" xr10:uidLastSave="{00000000-0000-0000-0000-000000000000}"/>
  <bookViews>
    <workbookView xWindow="-108" yWindow="-108" windowWidth="23256" windowHeight="12456" activeTab="1" xr2:uid="{EB84741C-D430-4148-8F8E-704E37A9CE94}"/>
  </bookViews>
  <sheets>
    <sheet name="039" sheetId="3" r:id="rId1"/>
    <sheet name="001" sheetId="2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2" l="1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</calcChain>
</file>

<file path=xl/sharedStrings.xml><?xml version="1.0" encoding="utf-8"?>
<sst xmlns="http://schemas.openxmlformats.org/spreadsheetml/2006/main" count="221" uniqueCount="134">
  <si>
    <t>IES INGENIEROS S.A.S.</t>
  </si>
  <si>
    <t>NIT. 900317964-1</t>
  </si>
  <si>
    <t>PLANILLA DE LIQUIDACION</t>
  </si>
  <si>
    <t>PERIODO : ,"LFI0000000350","12-30-2025  ","12-01-2025  ","NM10000000237","12-30-2025  ","12-01-2025  ","NM10000000238","12-31-2025  ","12-01-2025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</si>
  <si>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</si>
  <si>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</si>
  <si>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</si>
  <si>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</si>
  <si>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</si>
  <si>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</si>
  <si>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</si>
  <si>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</si>
  <si>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</si>
  <si>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</si>
  <si>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AUXILIO</t>
  </si>
  <si>
    <t>TOTAL DEVENGADO</t>
  </si>
  <si>
    <t>FONDO SOLIDARIDAD PENSIONAL</t>
  </si>
  <si>
    <t>PRESTAMOS</t>
  </si>
  <si>
    <t>SALUD TRABAJADOR</t>
  </si>
  <si>
    <t>PENSION TRABAJADOR</t>
  </si>
  <si>
    <t>TOTAL DEDUCIDO</t>
  </si>
  <si>
    <t>NETO A PAGAR</t>
  </si>
  <si>
    <t xml:space="preserve">ADMINISTRATIVO                                                                  </t>
  </si>
  <si>
    <t xml:space="preserve">14227834        </t>
  </si>
  <si>
    <t xml:space="preserve">14227834-01  </t>
  </si>
  <si>
    <t xml:space="preserve">ACOSTA ACOSTA GERARDO ANTONIO                                                                                                                                   </t>
  </si>
  <si>
    <t xml:space="preserve">CALL CENTER Y RECEPCIONISTA             </t>
  </si>
  <si>
    <t xml:space="preserve">1110548442      </t>
  </si>
  <si>
    <t>1110548442-01</t>
  </si>
  <si>
    <t xml:space="preserve">GARZON MONTOYA JORGE FELIPE                                                                                                                                     </t>
  </si>
  <si>
    <t xml:space="preserve">COORDINADOR DE LICITACIONES             </t>
  </si>
  <si>
    <t xml:space="preserve">1030627623      </t>
  </si>
  <si>
    <t>1030627623-01</t>
  </si>
  <si>
    <t xml:space="preserve">JOURDAN YALID MARIN HURTADO                                                                                                                                     </t>
  </si>
  <si>
    <t xml:space="preserve">DIRECTOR DE PROYECTOS                   </t>
  </si>
  <si>
    <t xml:space="preserve">1233694065      </t>
  </si>
  <si>
    <t>1233694065-01</t>
  </si>
  <si>
    <t xml:space="preserve">OBANDO PACHON LESLY DAYANA                                                                                                                                      </t>
  </si>
  <si>
    <t xml:space="preserve">CONTADOR                                </t>
  </si>
  <si>
    <t xml:space="preserve">39612867        </t>
  </si>
  <si>
    <t xml:space="preserve">39612867-01  </t>
  </si>
  <si>
    <t xml:space="preserve">QUEVEDO INFANTE BERTHA MARIA                                                                                                                                    </t>
  </si>
  <si>
    <t xml:space="preserve">SERVICIOS VARIOS                        </t>
  </si>
  <si>
    <t xml:space="preserve">1013636704      </t>
  </si>
  <si>
    <t>1013636704-02</t>
  </si>
  <si>
    <t xml:space="preserve">ROJAS ZAPATA CAMILO ANDRES                                                                                                                                      </t>
  </si>
  <si>
    <t xml:space="preserve">COORDINADOR DE MAQUINARIA               </t>
  </si>
  <si>
    <t xml:space="preserve">1023865830      </t>
  </si>
  <si>
    <t>1023865830-01</t>
  </si>
  <si>
    <t xml:space="preserve">VELASQUEZ QUEVEDO DEASSI MAGALY                                                                                                                                 </t>
  </si>
  <si>
    <t xml:space="preserve">COORDINADOR DE TESORERIA                </t>
  </si>
  <si>
    <t xml:space="preserve">52281177        </t>
  </si>
  <si>
    <t xml:space="preserve">52281177-02  </t>
  </si>
  <si>
    <t xml:space="preserve">VELASQUEZ VIGOYA MERY YADIRA                                                                                                                                    </t>
  </si>
  <si>
    <t xml:space="preserve">                                        </t>
  </si>
  <si>
    <t xml:space="preserve">79969768        </t>
  </si>
  <si>
    <t xml:space="preserve">79969768-03  </t>
  </si>
  <si>
    <t xml:space="preserve">VELASQUEZ VIGOYA OSCAR RENAN                                                                                                                                    </t>
  </si>
  <si>
    <t xml:space="preserve">GERENCIA DE PROYECTOS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</si>
  <si>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</si>
  <si>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</si>
  <si>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</si>
  <si>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</si>
  <si>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</si>
  <si>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</si>
  <si>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</si>
  <si>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003</t>
  </si>
  <si>
    <t xml:space="preserve">AUXILIO                                 </t>
  </si>
  <si>
    <t>505</t>
  </si>
  <si>
    <t xml:space="preserve">FONDO SOLIDARIDAD PENSIONAL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</si>
  <si>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</si>
  <si>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</si>
  <si>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</si>
  <si>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</si>
  <si>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</si>
  <si>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</si>
  <si>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</si>
  <si>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</si>
  <si>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</si>
  <si>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800211025       </t>
  </si>
  <si>
    <t xml:space="preserve">CAJA DE COMPENSACION FAMILIAR DEL TOLIMA COMFATOLIMA                                                                                                            </t>
  </si>
  <si>
    <t xml:space="preserve">CAJA DE COMPENSACION                    </t>
  </si>
  <si>
    <t xml:space="preserve">860007336       </t>
  </si>
  <si>
    <t xml:space="preserve">CAJA COLOMBIANA DE SUBSIDIO FAMILIAR COLSUBSIDIO                                                                                                                </t>
  </si>
  <si>
    <t xml:space="preserve">800224808       </t>
  </si>
  <si>
    <t xml:space="preserve">FONDO DE PENSIONES OBLIGATORIAS PORVENIR MODERADO                                                                                                               </t>
  </si>
  <si>
    <t xml:space="preserve">PENSION EMPLEADOR                       </t>
  </si>
  <si>
    <t xml:space="preserve">800229739       </t>
  </si>
  <si>
    <t xml:space="preserve">FONDO DE PENSIONES OBLIGATORIAS PROTECCION MODERADO                                                                                      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</si>
  <si>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</si>
  <si>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</si>
  <si>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</si>
  <si>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</si>
  <si>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</si>
  <si>
    <t>CESANTIAS LIQUIDADAS</t>
  </si>
  <si>
    <t>VACACIONES LIQUIDADAS</t>
  </si>
  <si>
    <t>PRIMA LIQUIDADA</t>
  </si>
  <si>
    <t>INTERES A LAS CESANTIAS</t>
  </si>
  <si>
    <t xml:space="preserve">ANDENES ZONA 5                                                                  </t>
  </si>
  <si>
    <t xml:space="preserve">79208543        </t>
  </si>
  <si>
    <t xml:space="preserve">79208543-02  </t>
  </si>
  <si>
    <t xml:space="preserve">ACOSTA FANDIÑO ABELARDO                                                                                                                                         </t>
  </si>
  <si>
    <t xml:space="preserve">INSPECTOR                               </t>
  </si>
  <si>
    <t xml:space="preserve">1030605696      </t>
  </si>
  <si>
    <t>1030605696-01</t>
  </si>
  <si>
    <t xml:space="preserve">AREVALO SUAREZ IVAN CAMILO                                                                                                                                      </t>
  </si>
  <si>
    <t xml:space="preserve">COSTOS Y PRESUPUESTOS                   </t>
  </si>
  <si>
    <t xml:space="preserve">1023923196      </t>
  </si>
  <si>
    <t>1023923196-01</t>
  </si>
  <si>
    <t xml:space="preserve">FONSECA LOPEZ JUAN DAVID                                                                                                                                        </t>
  </si>
  <si>
    <t xml:space="preserve">INGENIERO AMBIENTAL                     </t>
  </si>
  <si>
    <t xml:space="preserve">1018492304      </t>
  </si>
  <si>
    <t>1018492304-01</t>
  </si>
  <si>
    <t xml:space="preserve">GUZMAN GONZALEZ ERIK JOSE                                                                                                                                       </t>
  </si>
  <si>
    <t xml:space="preserve">1000268846      </t>
  </si>
  <si>
    <t>1000268846-01</t>
  </si>
  <si>
    <t xml:space="preserve">PINEDA YAYA KAREN JULIETH                                                                                                                                       </t>
  </si>
  <si>
    <t xml:space="preserve">SOCIAL                                  </t>
  </si>
  <si>
    <t xml:space="preserve">1030632688      </t>
  </si>
  <si>
    <t>1030632688-01</t>
  </si>
  <si>
    <t xml:space="preserve">RICON RIVEROS LUISA FERNANDA                                                                                                                                    </t>
  </si>
  <si>
    <t xml:space="preserve">SST                                     </t>
  </si>
  <si>
    <t xml:space="preserve">79857944        </t>
  </si>
  <si>
    <t xml:space="preserve">79857944-01  </t>
  </si>
  <si>
    <t xml:space="preserve">YAÑEZ RODRIGUEZ JUAN MANUEL                                                                                                                                     </t>
  </si>
  <si>
    <t xml:space="preserve">AUXILIAR ADMINISTRATIVO                 </t>
  </si>
  <si>
    <t>010</t>
  </si>
  <si>
    <t xml:space="preserve">CESANTIAS LIQUIDADAS                    </t>
  </si>
  <si>
    <t>011</t>
  </si>
  <si>
    <t xml:space="preserve">VACACIONES LIQUIDADAS                   </t>
  </si>
  <si>
    <t>012</t>
  </si>
  <si>
    <t xml:space="preserve">PRIMA LIQUIDADA                         </t>
  </si>
  <si>
    <t>014</t>
  </si>
  <si>
    <t xml:space="preserve">INTERES A LAS CESANTIAS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</si>
</sst>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4" fontId="0" fillId="3" borderId="0" xfId="0" applyNumberFormat="1" applyFill="1"/>
    <xf numFmtId="3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E711-4F61-4A7D-B542-E022FB09782F}">
  <dimension ref="A1:T34"/>
  <sheetViews>
    <sheetView topLeftCell="E1" workbookViewId="0">
      <selection activeCell="A9" sqref="A9:T15"/>
    </sheetView>
  </sheetViews>
  <sheetFormatPr baseColWidth="10" defaultRowHeight="13.2" x14ac:dyDescent="0.3"/>
  <cols>
    <col min="1" max="1" width="16.875" customWidth="1"/>
    <col min="2" max="2" width="12.875" customWidth="1"/>
    <col min="3" max="3" width="35.875" customWidth="1"/>
    <col min="4" max="4" width="20.875" customWidth="1"/>
    <col min="5" max="27" width="14.875" customWidth="1"/>
  </cols>
  <sheetData>
    <row r="1" spans="1:20" ht="19.8" x14ac:dyDescent="0.45">
      <c r="A1" s="2" t="s">
        <v>0</v>
      </c>
    </row>
    <row r="2" spans="1:20" x14ac:dyDescent="0.3">
      <c r="A2" s="1" t="s">
        <v>1</v>
      </c>
    </row>
    <row r="4" spans="1:20" x14ac:dyDescent="0.3">
      <c r="A4" s="1" t="s">
        <v>2</v>
      </c>
    </row>
    <row r="5" spans="1:20" x14ac:dyDescent="0.3">
      <c r="A5" s="1" t="s">
        <v>3</v>
      </c>
    </row>
    <row r="7" spans="1:20" ht="32.1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94</v>
      </c>
      <c r="M7" s="4" t="s">
        <v>95</v>
      </c>
      <c r="N7" s="4" t="s">
        <v>96</v>
      </c>
      <c r="O7" s="4" t="s">
        <v>97</v>
      </c>
      <c r="P7" s="4" t="s">
        <v>15</v>
      </c>
      <c r="Q7" s="4" t="s">
        <v>18</v>
      </c>
      <c r="R7" s="4" t="s">
        <v>19</v>
      </c>
      <c r="S7" s="4" t="s">
        <v>20</v>
      </c>
      <c r="T7" s="4" t="s">
        <v>21</v>
      </c>
    </row>
    <row r="8" spans="1:20" ht="16.8" x14ac:dyDescent="0.4">
      <c r="A8" s="5" t="s">
        <v>98</v>
      </c>
    </row>
    <row r="9" spans="1:20" x14ac:dyDescent="0.3">
      <c r="A9" s="6" t="s">
        <v>99</v>
      </c>
      <c r="B9" s="6" t="s">
        <v>100</v>
      </c>
      <c r="C9" s="6" t="s">
        <v>101</v>
      </c>
      <c r="D9" s="6" t="s">
        <v>102</v>
      </c>
      <c r="E9" s="7">
        <v>1900000</v>
      </c>
      <c r="F9" s="8">
        <v>29</v>
      </c>
      <c r="G9" s="8">
        <v>51</v>
      </c>
      <c r="H9" s="8">
        <v>0</v>
      </c>
      <c r="I9" s="7">
        <v>1836667</v>
      </c>
      <c r="J9" s="7">
        <v>193333</v>
      </c>
      <c r="K9" s="7">
        <v>300000</v>
      </c>
      <c r="L9" s="7">
        <v>297500</v>
      </c>
      <c r="M9" s="7">
        <v>134583</v>
      </c>
      <c r="N9" s="7">
        <v>297500</v>
      </c>
      <c r="O9" s="7">
        <v>5058</v>
      </c>
      <c r="P9" s="7">
        <v>3064641</v>
      </c>
      <c r="Q9" s="7">
        <v>73500</v>
      </c>
      <c r="R9" s="7">
        <v>73500</v>
      </c>
      <c r="S9" s="7">
        <v>147000</v>
      </c>
      <c r="T9" s="7">
        <v>2917641</v>
      </c>
    </row>
    <row r="10" spans="1:20" x14ac:dyDescent="0.3">
      <c r="A10" s="6" t="s">
        <v>103</v>
      </c>
      <c r="B10" s="6" t="s">
        <v>104</v>
      </c>
      <c r="C10" s="6" t="s">
        <v>105</v>
      </c>
      <c r="D10" s="6" t="s">
        <v>106</v>
      </c>
      <c r="E10" s="7">
        <v>1423500</v>
      </c>
      <c r="F10" s="8">
        <v>30</v>
      </c>
      <c r="G10" s="8">
        <v>0</v>
      </c>
      <c r="H10" s="8">
        <v>0</v>
      </c>
      <c r="I10" s="7">
        <v>1423500</v>
      </c>
      <c r="J10" s="7">
        <v>200000</v>
      </c>
      <c r="K10" s="7">
        <v>240380</v>
      </c>
      <c r="P10" s="7">
        <v>1863880</v>
      </c>
      <c r="Q10" s="7">
        <v>57000</v>
      </c>
      <c r="R10" s="7">
        <v>57000</v>
      </c>
      <c r="S10" s="7">
        <v>114000</v>
      </c>
      <c r="T10" s="7">
        <v>1749880</v>
      </c>
    </row>
    <row r="11" spans="1:20" x14ac:dyDescent="0.3">
      <c r="A11" s="6" t="s">
        <v>107</v>
      </c>
      <c r="B11" s="6" t="s">
        <v>108</v>
      </c>
      <c r="C11" s="6" t="s">
        <v>109</v>
      </c>
      <c r="D11" s="6" t="s">
        <v>110</v>
      </c>
      <c r="E11" s="7">
        <v>1600000</v>
      </c>
      <c r="F11" s="8">
        <v>30</v>
      </c>
      <c r="G11" s="8">
        <v>0</v>
      </c>
      <c r="H11" s="8">
        <v>0</v>
      </c>
      <c r="I11" s="7">
        <v>1600000</v>
      </c>
      <c r="J11" s="7">
        <v>200000</v>
      </c>
      <c r="P11" s="7">
        <v>1800000</v>
      </c>
      <c r="Q11" s="7">
        <v>64000</v>
      </c>
      <c r="R11" s="7">
        <v>64000</v>
      </c>
      <c r="S11" s="7">
        <v>128000</v>
      </c>
      <c r="T11" s="7">
        <v>1672000</v>
      </c>
    </row>
    <row r="12" spans="1:20" x14ac:dyDescent="0.3">
      <c r="A12" s="6" t="s">
        <v>111</v>
      </c>
      <c r="B12" s="6" t="s">
        <v>112</v>
      </c>
      <c r="C12" s="6" t="s">
        <v>113</v>
      </c>
      <c r="D12" s="6" t="s">
        <v>102</v>
      </c>
      <c r="E12" s="7">
        <v>2500000</v>
      </c>
      <c r="F12" s="8">
        <v>30</v>
      </c>
      <c r="G12" s="8">
        <v>0</v>
      </c>
      <c r="H12" s="8">
        <v>0</v>
      </c>
      <c r="I12" s="7">
        <v>2500000</v>
      </c>
      <c r="J12" s="7">
        <v>200000</v>
      </c>
      <c r="P12" s="7">
        <v>2700000</v>
      </c>
      <c r="Q12" s="7">
        <v>100000</v>
      </c>
      <c r="R12" s="7">
        <v>100000</v>
      </c>
      <c r="S12" s="7">
        <v>200000</v>
      </c>
      <c r="T12" s="7">
        <v>2500000</v>
      </c>
    </row>
    <row r="13" spans="1:20" x14ac:dyDescent="0.3">
      <c r="A13" s="6" t="s">
        <v>114</v>
      </c>
      <c r="B13" s="6" t="s">
        <v>115</v>
      </c>
      <c r="C13" s="6" t="s">
        <v>116</v>
      </c>
      <c r="D13" s="6" t="s">
        <v>117</v>
      </c>
      <c r="E13" s="7">
        <v>2500000</v>
      </c>
      <c r="F13" s="8">
        <v>30</v>
      </c>
      <c r="G13" s="8">
        <v>0</v>
      </c>
      <c r="H13" s="8">
        <v>0</v>
      </c>
      <c r="I13" s="7">
        <v>2500000</v>
      </c>
      <c r="J13" s="7">
        <v>200000</v>
      </c>
      <c r="P13" s="7">
        <v>2700000</v>
      </c>
      <c r="Q13" s="7">
        <v>100000</v>
      </c>
      <c r="R13" s="7">
        <v>100000</v>
      </c>
      <c r="S13" s="7">
        <v>200000</v>
      </c>
      <c r="T13" s="7">
        <v>2500000</v>
      </c>
    </row>
    <row r="14" spans="1:20" x14ac:dyDescent="0.3">
      <c r="A14" s="6" t="s">
        <v>118</v>
      </c>
      <c r="B14" s="6" t="s">
        <v>119</v>
      </c>
      <c r="C14" s="6" t="s">
        <v>120</v>
      </c>
      <c r="D14" s="6" t="s">
        <v>121</v>
      </c>
      <c r="E14" s="7">
        <v>1423500</v>
      </c>
      <c r="F14" s="8">
        <v>30</v>
      </c>
      <c r="G14" s="8">
        <v>0</v>
      </c>
      <c r="H14" s="8">
        <v>0</v>
      </c>
      <c r="I14" s="7">
        <v>1423500</v>
      </c>
      <c r="J14" s="7">
        <v>200000</v>
      </c>
      <c r="K14" s="7">
        <v>200000</v>
      </c>
      <c r="P14" s="7">
        <v>1823500</v>
      </c>
      <c r="Q14" s="7">
        <v>57000</v>
      </c>
      <c r="R14" s="7">
        <v>57000</v>
      </c>
      <c r="S14" s="7">
        <v>114000</v>
      </c>
      <c r="T14" s="7">
        <v>1709500</v>
      </c>
    </row>
    <row r="15" spans="1:20" x14ac:dyDescent="0.3">
      <c r="A15" s="6" t="s">
        <v>122</v>
      </c>
      <c r="B15" s="6" t="s">
        <v>123</v>
      </c>
      <c r="C15" s="6" t="s">
        <v>124</v>
      </c>
      <c r="D15" s="6" t="s">
        <v>125</v>
      </c>
      <c r="E15" s="7">
        <v>1423500</v>
      </c>
      <c r="F15" s="8">
        <v>30</v>
      </c>
      <c r="G15" s="8">
        <v>0</v>
      </c>
      <c r="H15" s="8">
        <v>0</v>
      </c>
      <c r="I15" s="7">
        <v>1423500</v>
      </c>
      <c r="J15" s="7">
        <v>200000</v>
      </c>
      <c r="K15" s="7">
        <v>200000</v>
      </c>
      <c r="P15" s="7">
        <v>1823500</v>
      </c>
      <c r="Q15" s="7">
        <v>57000</v>
      </c>
      <c r="R15" s="7">
        <v>57000</v>
      </c>
      <c r="S15" s="7">
        <v>114000</v>
      </c>
      <c r="T15" s="7">
        <v>1709500</v>
      </c>
    </row>
    <row r="16" spans="1:20" x14ac:dyDescent="0.3">
      <c r="B16" s="9" t="s">
        <v>59</v>
      </c>
      <c r="I16" s="10">
        <v>12707167</v>
      </c>
      <c r="J16" s="10">
        <v>1393333</v>
      </c>
      <c r="K16" s="10">
        <v>940380</v>
      </c>
      <c r="L16" s="10">
        <v>297500</v>
      </c>
      <c r="M16" s="10">
        <v>134583</v>
      </c>
      <c r="N16" s="10">
        <v>297500</v>
      </c>
      <c r="O16" s="10">
        <v>5058</v>
      </c>
      <c r="P16" s="10">
        <v>15775521</v>
      </c>
      <c r="Q16" s="10">
        <v>508500</v>
      </c>
      <c r="R16" s="10">
        <v>508500</v>
      </c>
      <c r="S16" s="10">
        <v>1017000</v>
      </c>
      <c r="T16" s="10">
        <v>14758521</v>
      </c>
    </row>
    <row r="18" spans="1:4" x14ac:dyDescent="0.3">
      <c r="A18" s="11" t="s">
        <v>60</v>
      </c>
      <c r="B18" s="11" t="s">
        <v>61</v>
      </c>
      <c r="C18" s="11"/>
    </row>
    <row r="19" spans="1:4" x14ac:dyDescent="0.3">
      <c r="A19" s="6" t="s">
        <v>62</v>
      </c>
      <c r="B19" s="6" t="s">
        <v>63</v>
      </c>
      <c r="C19" s="10">
        <v>12707167</v>
      </c>
    </row>
    <row r="20" spans="1:4" x14ac:dyDescent="0.3">
      <c r="A20" s="6" t="s">
        <v>64</v>
      </c>
      <c r="B20" s="6" t="s">
        <v>65</v>
      </c>
      <c r="C20" s="10">
        <v>1393333</v>
      </c>
    </row>
    <row r="21" spans="1:4" x14ac:dyDescent="0.3">
      <c r="A21" s="6" t="s">
        <v>66</v>
      </c>
      <c r="B21" s="6" t="s">
        <v>67</v>
      </c>
      <c r="C21" s="10">
        <v>940380</v>
      </c>
    </row>
    <row r="22" spans="1:4" x14ac:dyDescent="0.3">
      <c r="A22" s="6" t="s">
        <v>126</v>
      </c>
      <c r="B22" s="6" t="s">
        <v>127</v>
      </c>
      <c r="C22" s="10">
        <v>297500</v>
      </c>
    </row>
    <row r="23" spans="1:4" x14ac:dyDescent="0.3">
      <c r="A23" s="6" t="s">
        <v>128</v>
      </c>
      <c r="B23" s="6" t="s">
        <v>129</v>
      </c>
      <c r="C23" s="10">
        <v>134583</v>
      </c>
    </row>
    <row r="24" spans="1:4" x14ac:dyDescent="0.3">
      <c r="A24" s="6" t="s">
        <v>130</v>
      </c>
      <c r="B24" s="6" t="s">
        <v>131</v>
      </c>
      <c r="C24" s="10">
        <v>297500</v>
      </c>
    </row>
    <row r="25" spans="1:4" x14ac:dyDescent="0.3">
      <c r="A25" s="6" t="s">
        <v>132</v>
      </c>
      <c r="B25" s="6" t="s">
        <v>133</v>
      </c>
      <c r="C25" s="10">
        <v>5058</v>
      </c>
    </row>
    <row r="26" spans="1:4" x14ac:dyDescent="0.3">
      <c r="A26" s="6" t="s">
        <v>72</v>
      </c>
      <c r="B26" s="6" t="s">
        <v>73</v>
      </c>
      <c r="C26" s="10">
        <v>508500</v>
      </c>
    </row>
    <row r="27" spans="1:4" x14ac:dyDescent="0.3">
      <c r="A27" s="6" t="s">
        <v>74</v>
      </c>
      <c r="B27" s="6" t="s">
        <v>75</v>
      </c>
      <c r="C27" s="10">
        <v>508500</v>
      </c>
    </row>
    <row r="29" spans="1:4" x14ac:dyDescent="0.3">
      <c r="A29" s="11" t="s">
        <v>76</v>
      </c>
      <c r="B29" s="11" t="s">
        <v>77</v>
      </c>
      <c r="C29" s="11" t="s">
        <v>78</v>
      </c>
      <c r="D29" s="11"/>
    </row>
    <row r="30" spans="1:4" x14ac:dyDescent="0.3">
      <c r="A30" s="6" t="s">
        <v>82</v>
      </c>
      <c r="B30" s="6" t="s">
        <v>83</v>
      </c>
      <c r="C30" s="6" t="s">
        <v>81</v>
      </c>
      <c r="D30" s="10">
        <v>513900</v>
      </c>
    </row>
    <row r="31" spans="1:4" x14ac:dyDescent="0.3">
      <c r="A31" s="6" t="s">
        <v>84</v>
      </c>
      <c r="B31" s="6" t="s">
        <v>85</v>
      </c>
      <c r="C31" s="6" t="s">
        <v>86</v>
      </c>
      <c r="D31" s="10">
        <v>941800</v>
      </c>
    </row>
    <row r="32" spans="1:4" x14ac:dyDescent="0.3">
      <c r="A32" s="6" t="s">
        <v>87</v>
      </c>
      <c r="B32" s="6" t="s">
        <v>88</v>
      </c>
      <c r="C32" s="6" t="s">
        <v>86</v>
      </c>
      <c r="D32" s="10">
        <v>192000</v>
      </c>
    </row>
    <row r="33" spans="1:4" x14ac:dyDescent="0.3">
      <c r="A33" s="6" t="s">
        <v>89</v>
      </c>
      <c r="B33" s="6" t="s">
        <v>90</v>
      </c>
      <c r="C33" s="6" t="s">
        <v>86</v>
      </c>
      <c r="D33" s="10">
        <v>398900</v>
      </c>
    </row>
    <row r="34" spans="1:4" x14ac:dyDescent="0.3">
      <c r="A34" s="6" t="s">
        <v>91</v>
      </c>
      <c r="B34" s="6" t="s">
        <v>92</v>
      </c>
      <c r="C34" s="6" t="s">
        <v>93</v>
      </c>
      <c r="D34" s="10">
        <v>884600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29E8-061B-49AF-B53C-9D8297F199F8}">
  <dimension ref="A1:V57"/>
  <sheetViews>
    <sheetView tabSelected="1" topLeftCell="A9" workbookViewId="0">
      <selection activeCell="C27" sqref="C27"/>
    </sheetView>
  </sheetViews>
  <sheetFormatPr baseColWidth="10" defaultRowHeight="13.2" x14ac:dyDescent="0.3"/>
  <cols>
    <col min="1" max="1" width="16.875" customWidth="1"/>
    <col min="2" max="2" width="12.875" customWidth="1"/>
    <col min="3" max="3" width="35.875" customWidth="1"/>
    <col min="4" max="4" width="20.875" customWidth="1"/>
    <col min="5" max="5" width="14.875" customWidth="1"/>
    <col min="6" max="8" width="4.875" customWidth="1"/>
    <col min="9" max="31" width="14.875" customWidth="1"/>
  </cols>
  <sheetData>
    <row r="1" spans="1:22" ht="19.8" x14ac:dyDescent="0.45">
      <c r="A1" s="2" t="s">
        <v>0</v>
      </c>
    </row>
    <row r="2" spans="1:22" x14ac:dyDescent="0.3">
      <c r="A2" s="1" t="s">
        <v>1</v>
      </c>
    </row>
    <row r="4" spans="1:22" x14ac:dyDescent="0.3">
      <c r="A4" s="1" t="s">
        <v>2</v>
      </c>
    </row>
    <row r="5" spans="1:22" x14ac:dyDescent="0.3">
      <c r="A5" s="1" t="s">
        <v>3</v>
      </c>
    </row>
    <row r="7" spans="1:22" ht="32.1" customHeight="1" x14ac:dyDescent="0.3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94</v>
      </c>
      <c r="M7" s="4" t="s">
        <v>95</v>
      </c>
      <c r="N7" s="4" t="s">
        <v>96</v>
      </c>
      <c r="O7" s="4" t="s">
        <v>97</v>
      </c>
      <c r="P7" s="4" t="s">
        <v>15</v>
      </c>
      <c r="Q7" s="4" t="s">
        <v>16</v>
      </c>
      <c r="R7" s="4" t="s">
        <v>17</v>
      </c>
      <c r="S7" s="4" t="s">
        <v>18</v>
      </c>
      <c r="T7" s="4" t="s">
        <v>19</v>
      </c>
      <c r="U7" s="4" t="s">
        <v>20</v>
      </c>
      <c r="V7" s="4" t="s">
        <v>21</v>
      </c>
    </row>
    <row r="8" spans="1:22" ht="16.8" x14ac:dyDescent="0.4">
      <c r="A8" s="5" t="s">
        <v>22</v>
      </c>
    </row>
    <row r="9" spans="1:22" x14ac:dyDescent="0.3">
      <c r="A9" s="6" t="s">
        <v>23</v>
      </c>
      <c r="B9" s="6" t="s">
        <v>24</v>
      </c>
      <c r="C9" s="6" t="s">
        <v>25</v>
      </c>
      <c r="D9" s="6" t="s">
        <v>26</v>
      </c>
      <c r="E9" s="7">
        <v>1423500</v>
      </c>
      <c r="F9" s="13">
        <v>30</v>
      </c>
      <c r="G9" s="8">
        <v>0</v>
      </c>
      <c r="H9" s="8">
        <v>0</v>
      </c>
      <c r="I9" s="12">
        <v>1423500</v>
      </c>
      <c r="J9" s="12">
        <v>200000</v>
      </c>
      <c r="K9" s="14"/>
      <c r="P9" s="7">
        <v>1623500</v>
      </c>
      <c r="Q9" s="14"/>
      <c r="R9" s="14"/>
      <c r="S9" s="12">
        <v>57000</v>
      </c>
      <c r="T9" s="14"/>
      <c r="U9" s="7">
        <v>57000</v>
      </c>
      <c r="V9" s="12">
        <v>1566500</v>
      </c>
    </row>
    <row r="10" spans="1:22" x14ac:dyDescent="0.3">
      <c r="A10" s="6"/>
      <c r="B10" s="6"/>
      <c r="C10" s="6"/>
      <c r="D10" s="6"/>
      <c r="E10" s="7"/>
      <c r="F10" s="13"/>
      <c r="G10" s="8"/>
      <c r="H10" s="8"/>
      <c r="I10" s="12"/>
      <c r="J10" s="12"/>
      <c r="K10" s="14"/>
      <c r="P10" s="7"/>
      <c r="Q10" s="14"/>
      <c r="R10" s="14"/>
      <c r="S10" s="12"/>
      <c r="T10" s="14"/>
      <c r="U10" s="7"/>
      <c r="V10" s="12"/>
    </row>
    <row r="11" spans="1:22" x14ac:dyDescent="0.3">
      <c r="A11" s="6" t="s">
        <v>27</v>
      </c>
      <c r="B11" s="6" t="s">
        <v>28</v>
      </c>
      <c r="C11" s="6" t="s">
        <v>29</v>
      </c>
      <c r="D11" s="6" t="s">
        <v>30</v>
      </c>
      <c r="E11" s="7">
        <v>4000000</v>
      </c>
      <c r="F11" s="13">
        <v>30</v>
      </c>
      <c r="G11" s="8">
        <v>0</v>
      </c>
      <c r="H11" s="8">
        <v>0</v>
      </c>
      <c r="I11" s="12">
        <v>4000000</v>
      </c>
      <c r="J11" s="14"/>
      <c r="K11" s="14"/>
      <c r="P11" s="7">
        <v>4000000</v>
      </c>
      <c r="Q11" s="14"/>
      <c r="R11" s="14"/>
      <c r="S11" s="12">
        <v>160000</v>
      </c>
      <c r="T11" s="12">
        <v>160000</v>
      </c>
      <c r="U11" s="7">
        <v>320000</v>
      </c>
      <c r="V11" s="12">
        <v>3680000</v>
      </c>
    </row>
    <row r="12" spans="1:22" x14ac:dyDescent="0.3">
      <c r="A12" s="6"/>
      <c r="B12" s="6"/>
      <c r="C12" s="6"/>
      <c r="D12" s="6"/>
      <c r="E12" s="7"/>
      <c r="F12" s="13"/>
      <c r="G12" s="8"/>
      <c r="H12" s="8"/>
      <c r="I12" s="12"/>
      <c r="J12" s="14"/>
      <c r="K12" s="14"/>
      <c r="P12" s="7"/>
      <c r="Q12" s="14"/>
      <c r="R12" s="14"/>
      <c r="S12" s="12"/>
      <c r="T12" s="12"/>
      <c r="U12" s="7"/>
      <c r="V12" s="12"/>
    </row>
    <row r="13" spans="1:22" x14ac:dyDescent="0.3">
      <c r="A13" s="6" t="s">
        <v>31</v>
      </c>
      <c r="B13" s="6" t="s">
        <v>32</v>
      </c>
      <c r="C13" s="6" t="s">
        <v>33</v>
      </c>
      <c r="D13" s="6" t="s">
        <v>34</v>
      </c>
      <c r="E13" s="7">
        <v>7000000</v>
      </c>
      <c r="F13" s="13">
        <v>30</v>
      </c>
      <c r="G13" s="8">
        <v>0</v>
      </c>
      <c r="H13" s="8">
        <v>0</v>
      </c>
      <c r="I13" s="12">
        <v>7000000</v>
      </c>
      <c r="J13" s="14"/>
      <c r="K13" s="14"/>
      <c r="P13" s="7">
        <v>7000000</v>
      </c>
      <c r="Q13" s="12">
        <v>70000</v>
      </c>
      <c r="R13" s="14"/>
      <c r="S13" s="12">
        <v>280000</v>
      </c>
      <c r="T13" s="12">
        <v>280000</v>
      </c>
      <c r="U13" s="7">
        <v>630000</v>
      </c>
      <c r="V13" s="12">
        <v>6370000</v>
      </c>
    </row>
    <row r="14" spans="1:22" x14ac:dyDescent="0.3">
      <c r="A14" s="6"/>
      <c r="B14" s="6"/>
      <c r="C14" s="6"/>
      <c r="D14" s="6"/>
      <c r="E14" s="7"/>
      <c r="F14" s="13"/>
      <c r="G14" s="8"/>
      <c r="H14" s="8"/>
      <c r="I14" s="12"/>
      <c r="J14" s="14"/>
      <c r="K14" s="14"/>
      <c r="P14" s="7"/>
      <c r="Q14" s="12"/>
      <c r="R14" s="14"/>
      <c r="S14" s="12"/>
      <c r="T14" s="12"/>
      <c r="U14" s="7"/>
      <c r="V14" s="12"/>
    </row>
    <row r="15" spans="1:22" x14ac:dyDescent="0.3">
      <c r="A15" s="6" t="s">
        <v>35</v>
      </c>
      <c r="B15" s="6" t="s">
        <v>36</v>
      </c>
      <c r="C15" s="6" t="s">
        <v>37</v>
      </c>
      <c r="D15" s="6" t="s">
        <v>38</v>
      </c>
      <c r="E15" s="7">
        <v>3600000</v>
      </c>
      <c r="F15" s="13">
        <v>30</v>
      </c>
      <c r="G15" s="8">
        <v>0</v>
      </c>
      <c r="H15" s="8">
        <v>0</v>
      </c>
      <c r="I15" s="12">
        <v>3600000</v>
      </c>
      <c r="J15" s="14"/>
      <c r="K15" s="12">
        <v>400000</v>
      </c>
      <c r="L15" s="7"/>
      <c r="M15" s="7"/>
      <c r="N15" s="7"/>
      <c r="O15" s="7"/>
      <c r="P15" s="7">
        <v>4000000</v>
      </c>
      <c r="Q15" s="14"/>
      <c r="R15" s="14"/>
      <c r="S15" s="12">
        <v>144000</v>
      </c>
      <c r="T15" s="12">
        <v>144000</v>
      </c>
      <c r="U15" s="7">
        <v>288000</v>
      </c>
      <c r="V15" s="12">
        <v>3712000</v>
      </c>
    </row>
    <row r="16" spans="1:22" x14ac:dyDescent="0.3">
      <c r="A16" s="6"/>
      <c r="B16" s="6"/>
      <c r="C16" s="6"/>
      <c r="D16" s="6"/>
      <c r="E16" s="7"/>
      <c r="F16" s="13"/>
      <c r="G16" s="8"/>
      <c r="H16" s="8"/>
      <c r="I16" s="12"/>
      <c r="J16" s="14"/>
      <c r="K16" s="12"/>
      <c r="L16" s="7"/>
      <c r="M16" s="7"/>
      <c r="N16" s="7"/>
      <c r="O16" s="7"/>
      <c r="P16" s="7"/>
      <c r="Q16" s="14"/>
      <c r="R16" s="14"/>
      <c r="S16" s="12"/>
      <c r="T16" s="12"/>
      <c r="U16" s="7"/>
      <c r="V16" s="12"/>
    </row>
    <row r="17" spans="1:22" x14ac:dyDescent="0.3">
      <c r="A17" s="6" t="s">
        <v>39</v>
      </c>
      <c r="B17" s="6" t="s">
        <v>40</v>
      </c>
      <c r="C17" s="6" t="s">
        <v>41</v>
      </c>
      <c r="D17" s="6" t="s">
        <v>42</v>
      </c>
      <c r="E17" s="7">
        <v>1423500</v>
      </c>
      <c r="F17" s="13">
        <v>30</v>
      </c>
      <c r="G17" s="8">
        <v>0</v>
      </c>
      <c r="H17" s="8">
        <v>0</v>
      </c>
      <c r="I17" s="12">
        <v>1423500</v>
      </c>
      <c r="J17" s="12">
        <v>200000</v>
      </c>
      <c r="K17" s="14"/>
      <c r="P17" s="7">
        <v>1623500</v>
      </c>
      <c r="Q17" s="14"/>
      <c r="R17" s="14"/>
      <c r="S17" s="12">
        <v>57000</v>
      </c>
      <c r="T17" s="14"/>
      <c r="U17" s="7">
        <v>57000</v>
      </c>
      <c r="V17" s="12">
        <v>1566500</v>
      </c>
    </row>
    <row r="18" spans="1:22" x14ac:dyDescent="0.3">
      <c r="A18" s="6"/>
      <c r="B18" s="6"/>
      <c r="C18" s="6"/>
      <c r="D18" s="6"/>
      <c r="E18" s="7"/>
      <c r="F18" s="13"/>
      <c r="G18" s="8"/>
      <c r="H18" s="8"/>
      <c r="I18" s="12"/>
      <c r="J18" s="12"/>
      <c r="K18" s="14"/>
      <c r="P18" s="7"/>
      <c r="Q18" s="14"/>
      <c r="R18" s="14"/>
      <c r="S18" s="12"/>
      <c r="T18" s="14"/>
      <c r="U18" s="7"/>
      <c r="V18" s="12"/>
    </row>
    <row r="19" spans="1:22" x14ac:dyDescent="0.3">
      <c r="A19" s="6" t="s">
        <v>43</v>
      </c>
      <c r="B19" s="6" t="s">
        <v>44</v>
      </c>
      <c r="C19" s="6" t="s">
        <v>45</v>
      </c>
      <c r="D19" s="6" t="s">
        <v>46</v>
      </c>
      <c r="E19" s="7">
        <v>3348700</v>
      </c>
      <c r="F19" s="13">
        <v>30</v>
      </c>
      <c r="G19" s="8">
        <v>0</v>
      </c>
      <c r="H19" s="8">
        <v>0</v>
      </c>
      <c r="I19" s="12">
        <v>3348700</v>
      </c>
      <c r="J19" s="14"/>
      <c r="K19" s="12">
        <v>300000</v>
      </c>
      <c r="L19" s="7"/>
      <c r="M19" s="7"/>
      <c r="N19" s="7"/>
      <c r="O19" s="7"/>
      <c r="P19" s="7">
        <v>3648700</v>
      </c>
      <c r="Q19" s="14"/>
      <c r="R19" s="14"/>
      <c r="S19" s="12">
        <v>134000</v>
      </c>
      <c r="T19" s="12">
        <v>134000</v>
      </c>
      <c r="U19" s="7">
        <v>268000</v>
      </c>
      <c r="V19" s="12">
        <v>3380700</v>
      </c>
    </row>
    <row r="20" spans="1:22" x14ac:dyDescent="0.3">
      <c r="A20" s="6"/>
      <c r="B20" s="6"/>
      <c r="C20" s="6"/>
      <c r="D20" s="6"/>
      <c r="E20" s="7"/>
      <c r="F20" s="13"/>
      <c r="G20" s="8"/>
      <c r="H20" s="8"/>
      <c r="I20" s="12"/>
      <c r="J20" s="14"/>
      <c r="K20" s="12"/>
      <c r="L20" s="7"/>
      <c r="M20" s="7"/>
      <c r="N20" s="7"/>
      <c r="O20" s="7"/>
      <c r="P20" s="7"/>
      <c r="Q20" s="14"/>
      <c r="R20" s="14"/>
      <c r="S20" s="12"/>
      <c r="T20" s="12"/>
      <c r="U20" s="7"/>
      <c r="V20" s="12"/>
    </row>
    <row r="21" spans="1:22" x14ac:dyDescent="0.3">
      <c r="A21" s="6" t="s">
        <v>47</v>
      </c>
      <c r="B21" s="6" t="s">
        <v>48</v>
      </c>
      <c r="C21" s="6" t="s">
        <v>49</v>
      </c>
      <c r="D21" s="6" t="s">
        <v>50</v>
      </c>
      <c r="E21" s="7">
        <v>3156000</v>
      </c>
      <c r="F21" s="13">
        <v>30</v>
      </c>
      <c r="G21" s="8">
        <v>0</v>
      </c>
      <c r="H21" s="8">
        <v>0</v>
      </c>
      <c r="I21" s="12">
        <v>3156000</v>
      </c>
      <c r="J21" s="14"/>
      <c r="K21" s="14"/>
      <c r="P21" s="7">
        <v>3156000</v>
      </c>
      <c r="Q21" s="14"/>
      <c r="R21" s="12">
        <v>100000</v>
      </c>
      <c r="S21" s="12">
        <v>126300</v>
      </c>
      <c r="T21" s="12">
        <v>126300</v>
      </c>
      <c r="U21" s="7">
        <v>352600</v>
      </c>
      <c r="V21" s="12">
        <v>2803400</v>
      </c>
    </row>
    <row r="22" spans="1:22" x14ac:dyDescent="0.3">
      <c r="A22" s="6"/>
      <c r="B22" s="6"/>
      <c r="C22" s="6"/>
      <c r="D22" s="6"/>
      <c r="E22" s="7"/>
      <c r="F22" s="13"/>
      <c r="G22" s="8"/>
      <c r="H22" s="8"/>
      <c r="I22" s="12"/>
      <c r="J22" s="14"/>
      <c r="K22" s="14"/>
      <c r="P22" s="7"/>
      <c r="Q22" s="14"/>
      <c r="R22" s="12"/>
      <c r="S22" s="12"/>
      <c r="T22" s="12"/>
      <c r="U22" s="7"/>
      <c r="V22" s="12"/>
    </row>
    <row r="23" spans="1:22" x14ac:dyDescent="0.3">
      <c r="A23" s="6" t="s">
        <v>51</v>
      </c>
      <c r="B23" s="6" t="s">
        <v>52</v>
      </c>
      <c r="C23" s="6" t="s">
        <v>53</v>
      </c>
      <c r="D23" s="6" t="s">
        <v>54</v>
      </c>
      <c r="E23" s="7">
        <v>4606900</v>
      </c>
      <c r="F23" s="13">
        <v>30</v>
      </c>
      <c r="G23" s="8">
        <v>0</v>
      </c>
      <c r="H23" s="8">
        <v>0</v>
      </c>
      <c r="I23" s="12">
        <v>4606900</v>
      </c>
      <c r="J23" s="14"/>
      <c r="K23" s="14"/>
      <c r="P23" s="7">
        <v>4606900</v>
      </c>
      <c r="Q23" s="14"/>
      <c r="R23" s="14"/>
      <c r="S23" s="12">
        <v>184300</v>
      </c>
      <c r="T23" s="12">
        <v>184300</v>
      </c>
      <c r="U23" s="7">
        <v>368600</v>
      </c>
      <c r="V23" s="12">
        <v>4238300</v>
      </c>
    </row>
    <row r="24" spans="1:22" x14ac:dyDescent="0.3">
      <c r="A24" s="6"/>
      <c r="B24" s="6"/>
      <c r="C24" s="6"/>
      <c r="D24" s="6"/>
      <c r="E24" s="7"/>
      <c r="F24" s="13"/>
      <c r="G24" s="8"/>
      <c r="H24" s="8"/>
      <c r="I24" s="12"/>
      <c r="J24" s="14"/>
      <c r="K24" s="14"/>
      <c r="P24" s="7"/>
      <c r="Q24" s="14"/>
      <c r="R24" s="14"/>
      <c r="S24" s="12"/>
      <c r="T24" s="12"/>
      <c r="U24" s="7"/>
      <c r="V24" s="12"/>
    </row>
    <row r="25" spans="1:22" x14ac:dyDescent="0.3">
      <c r="A25" s="6" t="s">
        <v>55</v>
      </c>
      <c r="B25" s="6" t="s">
        <v>56</v>
      </c>
      <c r="C25" s="6" t="s">
        <v>57</v>
      </c>
      <c r="D25" s="6" t="s">
        <v>58</v>
      </c>
      <c r="E25" s="7">
        <v>8047400</v>
      </c>
      <c r="F25" s="13">
        <v>30</v>
      </c>
      <c r="G25" s="8">
        <v>0</v>
      </c>
      <c r="H25" s="8">
        <v>0</v>
      </c>
      <c r="I25" s="12">
        <v>8047400</v>
      </c>
      <c r="J25" s="14"/>
      <c r="K25" s="14"/>
      <c r="P25" s="7">
        <v>8047400</v>
      </c>
      <c r="Q25" s="12">
        <v>80500</v>
      </c>
      <c r="R25" s="12">
        <v>531345</v>
      </c>
      <c r="S25" s="12">
        <v>321900</v>
      </c>
      <c r="T25" s="12">
        <v>321900</v>
      </c>
      <c r="U25" s="7">
        <v>1255645</v>
      </c>
      <c r="V25" s="12">
        <v>6791755</v>
      </c>
    </row>
    <row r="26" spans="1:22" x14ac:dyDescent="0.3">
      <c r="A26" s="6"/>
      <c r="B26" s="6"/>
      <c r="C26" s="6"/>
      <c r="D26" s="6"/>
      <c r="E26" s="7"/>
      <c r="F26" s="13"/>
      <c r="G26" s="8"/>
      <c r="H26" s="8"/>
      <c r="I26" s="12"/>
      <c r="J26" s="14"/>
      <c r="K26" s="14"/>
      <c r="P26" s="7"/>
      <c r="Q26" s="12"/>
      <c r="R26" s="12"/>
      <c r="S26" s="12"/>
      <c r="T26" s="12"/>
      <c r="U26" s="7"/>
      <c r="V26" s="12"/>
    </row>
    <row r="27" spans="1:22" x14ac:dyDescent="0.3">
      <c r="A27" s="6" t="s">
        <v>99</v>
      </c>
      <c r="B27" s="6" t="s">
        <v>100</v>
      </c>
      <c r="C27" s="6" t="s">
        <v>101</v>
      </c>
      <c r="D27" s="6" t="s">
        <v>102</v>
      </c>
      <c r="E27" s="7">
        <v>1900000</v>
      </c>
      <c r="F27" s="13">
        <v>29</v>
      </c>
      <c r="G27" s="8">
        <v>51</v>
      </c>
      <c r="H27" s="8">
        <v>0</v>
      </c>
      <c r="I27" s="12">
        <v>1836667</v>
      </c>
      <c r="J27" s="12">
        <v>193333</v>
      </c>
      <c r="K27" s="12">
        <v>300000</v>
      </c>
      <c r="L27" s="7">
        <v>297500</v>
      </c>
      <c r="M27" s="7">
        <v>134583</v>
      </c>
      <c r="N27" s="7">
        <v>297500</v>
      </c>
      <c r="O27" s="7">
        <v>5058</v>
      </c>
      <c r="P27" s="7">
        <v>3064641</v>
      </c>
      <c r="Q27" s="14"/>
      <c r="R27" s="14"/>
      <c r="S27" s="12">
        <v>73500</v>
      </c>
      <c r="T27" s="12">
        <v>73500</v>
      </c>
      <c r="U27" s="7">
        <v>147000</v>
      </c>
      <c r="V27" s="12">
        <v>2917641</v>
      </c>
    </row>
    <row r="28" spans="1:22" x14ac:dyDescent="0.3">
      <c r="A28" s="6"/>
      <c r="B28" s="6"/>
      <c r="C28" s="6"/>
      <c r="D28" s="6"/>
      <c r="E28" s="7"/>
      <c r="F28" s="13"/>
      <c r="G28" s="8"/>
      <c r="H28" s="8"/>
      <c r="I28" s="12"/>
      <c r="J28" s="12"/>
      <c r="K28" s="12"/>
      <c r="L28" s="7"/>
      <c r="M28" s="7"/>
      <c r="N28" s="7"/>
      <c r="O28" s="7"/>
      <c r="P28" s="7"/>
      <c r="Q28" s="14"/>
      <c r="R28" s="14"/>
      <c r="S28" s="12"/>
      <c r="T28" s="12"/>
      <c r="U28" s="7"/>
      <c r="V28" s="12"/>
    </row>
    <row r="29" spans="1:22" x14ac:dyDescent="0.3">
      <c r="A29" s="6" t="s">
        <v>103</v>
      </c>
      <c r="B29" s="6" t="s">
        <v>104</v>
      </c>
      <c r="C29" s="6" t="s">
        <v>105</v>
      </c>
      <c r="D29" s="6" t="s">
        <v>106</v>
      </c>
      <c r="E29" s="7">
        <v>1423500</v>
      </c>
      <c r="F29" s="13">
        <v>30</v>
      </c>
      <c r="G29" s="8">
        <v>0</v>
      </c>
      <c r="H29" s="8">
        <v>0</v>
      </c>
      <c r="I29" s="12">
        <v>1423500</v>
      </c>
      <c r="J29" s="12">
        <v>200000</v>
      </c>
      <c r="K29" s="12">
        <v>240380</v>
      </c>
      <c r="P29" s="7">
        <v>1863880</v>
      </c>
      <c r="Q29" s="14"/>
      <c r="R29" s="14"/>
      <c r="S29" s="12">
        <v>57000</v>
      </c>
      <c r="T29" s="12">
        <v>57000</v>
      </c>
      <c r="U29" s="7">
        <v>114000</v>
      </c>
      <c r="V29" s="12">
        <v>1749880</v>
      </c>
    </row>
    <row r="30" spans="1:22" x14ac:dyDescent="0.3">
      <c r="A30" s="6"/>
      <c r="B30" s="6"/>
      <c r="C30" s="6"/>
      <c r="D30" s="6"/>
      <c r="E30" s="7"/>
      <c r="F30" s="13"/>
      <c r="G30" s="8"/>
      <c r="H30" s="8"/>
      <c r="I30" s="12"/>
      <c r="J30" s="12"/>
      <c r="K30" s="12"/>
      <c r="P30" s="7"/>
      <c r="Q30" s="14"/>
      <c r="R30" s="14"/>
      <c r="S30" s="12"/>
      <c r="T30" s="12"/>
      <c r="U30" s="7"/>
      <c r="V30" s="12"/>
    </row>
    <row r="31" spans="1:22" x14ac:dyDescent="0.3">
      <c r="A31" s="6" t="s">
        <v>107</v>
      </c>
      <c r="B31" s="6" t="s">
        <v>108</v>
      </c>
      <c r="C31" s="6" t="s">
        <v>109</v>
      </c>
      <c r="D31" s="6" t="s">
        <v>110</v>
      </c>
      <c r="E31" s="7">
        <v>1600000</v>
      </c>
      <c r="F31" s="13">
        <v>30</v>
      </c>
      <c r="G31" s="8">
        <v>0</v>
      </c>
      <c r="H31" s="8">
        <v>0</v>
      </c>
      <c r="I31" s="12">
        <v>1600000</v>
      </c>
      <c r="J31" s="12">
        <v>200000</v>
      </c>
      <c r="K31" s="14"/>
      <c r="P31" s="7">
        <v>1800000</v>
      </c>
      <c r="Q31" s="14"/>
      <c r="R31" s="14"/>
      <c r="S31" s="12">
        <v>64000</v>
      </c>
      <c r="T31" s="12">
        <v>64000</v>
      </c>
      <c r="U31" s="7">
        <v>128000</v>
      </c>
      <c r="V31" s="12">
        <v>1672000</v>
      </c>
    </row>
    <row r="32" spans="1:22" x14ac:dyDescent="0.3">
      <c r="A32" s="6"/>
      <c r="B32" s="6"/>
      <c r="C32" s="6"/>
      <c r="D32" s="6"/>
      <c r="E32" s="7"/>
      <c r="F32" s="13"/>
      <c r="G32" s="8"/>
      <c r="H32" s="8"/>
      <c r="I32" s="12"/>
      <c r="J32" s="12"/>
      <c r="K32" s="14"/>
      <c r="P32" s="7"/>
      <c r="Q32" s="14"/>
      <c r="R32" s="14"/>
      <c r="S32" s="12"/>
      <c r="T32" s="12"/>
      <c r="U32" s="7"/>
      <c r="V32" s="12"/>
    </row>
    <row r="33" spans="1:22" x14ac:dyDescent="0.3">
      <c r="A33" s="6" t="s">
        <v>111</v>
      </c>
      <c r="B33" s="6" t="s">
        <v>112</v>
      </c>
      <c r="C33" s="6" t="s">
        <v>113</v>
      </c>
      <c r="D33" s="6" t="s">
        <v>102</v>
      </c>
      <c r="E33" s="7">
        <v>2500000</v>
      </c>
      <c r="F33" s="13">
        <v>30</v>
      </c>
      <c r="G33" s="8">
        <v>0</v>
      </c>
      <c r="H33" s="8">
        <v>0</v>
      </c>
      <c r="I33" s="12">
        <v>2500000</v>
      </c>
      <c r="J33" s="12">
        <v>200000</v>
      </c>
      <c r="K33" s="14"/>
      <c r="P33" s="7">
        <v>2700000</v>
      </c>
      <c r="Q33" s="14"/>
      <c r="R33" s="14"/>
      <c r="S33" s="12">
        <v>100000</v>
      </c>
      <c r="T33" s="12">
        <v>100000</v>
      </c>
      <c r="U33" s="7">
        <v>200000</v>
      </c>
      <c r="V33" s="12">
        <v>2500000</v>
      </c>
    </row>
    <row r="34" spans="1:22" x14ac:dyDescent="0.3">
      <c r="A34" s="6"/>
      <c r="B34" s="6"/>
      <c r="C34" s="6"/>
      <c r="D34" s="6"/>
      <c r="E34" s="7"/>
      <c r="F34" s="13"/>
      <c r="G34" s="8"/>
      <c r="H34" s="8"/>
      <c r="I34" s="12"/>
      <c r="J34" s="12"/>
      <c r="K34" s="14"/>
      <c r="P34" s="7"/>
      <c r="Q34" s="14"/>
      <c r="R34" s="14"/>
      <c r="S34" s="12"/>
      <c r="T34" s="12"/>
      <c r="U34" s="7"/>
      <c r="V34" s="12"/>
    </row>
    <row r="35" spans="1:22" x14ac:dyDescent="0.3">
      <c r="A35" s="6" t="s">
        <v>114</v>
      </c>
      <c r="B35" s="6" t="s">
        <v>115</v>
      </c>
      <c r="C35" s="6" t="s">
        <v>116</v>
      </c>
      <c r="D35" s="6" t="s">
        <v>117</v>
      </c>
      <c r="E35" s="7">
        <v>2500000</v>
      </c>
      <c r="F35" s="13">
        <v>30</v>
      </c>
      <c r="G35" s="8">
        <v>0</v>
      </c>
      <c r="H35" s="8">
        <v>0</v>
      </c>
      <c r="I35" s="12">
        <v>2500000</v>
      </c>
      <c r="J35" s="12">
        <v>200000</v>
      </c>
      <c r="K35" s="14"/>
      <c r="P35" s="7">
        <v>2700000</v>
      </c>
      <c r="Q35" s="14"/>
      <c r="R35" s="14"/>
      <c r="S35" s="12">
        <v>100000</v>
      </c>
      <c r="T35" s="12">
        <v>100000</v>
      </c>
      <c r="U35" s="7">
        <v>200000</v>
      </c>
      <c r="V35" s="12">
        <v>2500000</v>
      </c>
    </row>
    <row r="36" spans="1:22" x14ac:dyDescent="0.3">
      <c r="A36" s="6"/>
      <c r="B36" s="6"/>
      <c r="C36" s="6"/>
      <c r="D36" s="6"/>
      <c r="E36" s="7"/>
      <c r="F36" s="13"/>
      <c r="G36" s="8"/>
      <c r="H36" s="8"/>
      <c r="I36" s="12"/>
      <c r="J36" s="12"/>
      <c r="K36" s="14"/>
      <c r="P36" s="7"/>
      <c r="Q36" s="14"/>
      <c r="R36" s="14"/>
      <c r="S36" s="12"/>
      <c r="T36" s="12"/>
      <c r="U36" s="7"/>
      <c r="V36" s="12"/>
    </row>
    <row r="37" spans="1:22" x14ac:dyDescent="0.3">
      <c r="A37" s="6" t="s">
        <v>118</v>
      </c>
      <c r="B37" s="6" t="s">
        <v>119</v>
      </c>
      <c r="C37" s="6" t="s">
        <v>120</v>
      </c>
      <c r="D37" s="6" t="s">
        <v>121</v>
      </c>
      <c r="E37" s="7">
        <v>1423500</v>
      </c>
      <c r="F37" s="13">
        <v>30</v>
      </c>
      <c r="G37" s="8">
        <v>0</v>
      </c>
      <c r="H37" s="8">
        <v>0</v>
      </c>
      <c r="I37" s="12">
        <v>1423500</v>
      </c>
      <c r="J37" s="12">
        <v>200000</v>
      </c>
      <c r="K37" s="12">
        <v>200000</v>
      </c>
      <c r="P37" s="7">
        <v>1823500</v>
      </c>
      <c r="Q37" s="14"/>
      <c r="R37" s="14"/>
      <c r="S37" s="12">
        <v>57000</v>
      </c>
      <c r="T37" s="12">
        <v>57000</v>
      </c>
      <c r="U37" s="7">
        <v>114000</v>
      </c>
      <c r="V37" s="12">
        <v>1709500</v>
      </c>
    </row>
    <row r="38" spans="1:22" x14ac:dyDescent="0.3">
      <c r="A38" s="6"/>
      <c r="B38" s="6"/>
      <c r="C38" s="6"/>
      <c r="D38" s="6"/>
      <c r="E38" s="7"/>
      <c r="F38" s="13"/>
      <c r="G38" s="8"/>
      <c r="H38" s="8"/>
      <c r="I38" s="12"/>
      <c r="J38" s="12"/>
      <c r="K38" s="12"/>
      <c r="P38" s="7"/>
      <c r="Q38" s="14"/>
      <c r="R38" s="14"/>
      <c r="S38" s="12"/>
      <c r="T38" s="12"/>
      <c r="U38" s="7"/>
      <c r="V38" s="12"/>
    </row>
    <row r="39" spans="1:22" x14ac:dyDescent="0.3">
      <c r="A39" s="6" t="s">
        <v>122</v>
      </c>
      <c r="B39" s="6" t="s">
        <v>123</v>
      </c>
      <c r="C39" s="6" t="s">
        <v>124</v>
      </c>
      <c r="D39" s="6" t="s">
        <v>125</v>
      </c>
      <c r="E39" s="7">
        <v>1423500</v>
      </c>
      <c r="F39" s="13">
        <v>30</v>
      </c>
      <c r="G39" s="8">
        <v>0</v>
      </c>
      <c r="H39" s="8">
        <v>0</v>
      </c>
      <c r="I39" s="12">
        <v>1423500</v>
      </c>
      <c r="J39" s="12">
        <v>200000</v>
      </c>
      <c r="K39" s="12">
        <v>200000</v>
      </c>
      <c r="P39" s="7">
        <v>1823500</v>
      </c>
      <c r="Q39" s="14"/>
      <c r="R39" s="14"/>
      <c r="S39" s="12">
        <v>57000</v>
      </c>
      <c r="T39" s="12">
        <v>57000</v>
      </c>
      <c r="U39" s="7">
        <v>114000</v>
      </c>
      <c r="V39" s="12">
        <v>1709500</v>
      </c>
    </row>
    <row r="40" spans="1:22" x14ac:dyDescent="0.3">
      <c r="B40" s="9" t="s">
        <v>59</v>
      </c>
      <c r="E40" s="10">
        <f>SUM(E9:E39)</f>
        <v>49376500</v>
      </c>
      <c r="I40" s="10">
        <f>SUM(I9:I39)</f>
        <v>49313167</v>
      </c>
      <c r="J40" s="10">
        <f t="shared" ref="J40:V40" si="0">SUM(J9:J39)</f>
        <v>1793333</v>
      </c>
      <c r="K40" s="10">
        <f t="shared" si="0"/>
        <v>1640380</v>
      </c>
      <c r="L40" s="10">
        <f t="shared" si="0"/>
        <v>297500</v>
      </c>
      <c r="M40" s="10">
        <f t="shared" si="0"/>
        <v>134583</v>
      </c>
      <c r="N40" s="10">
        <f t="shared" si="0"/>
        <v>297500</v>
      </c>
      <c r="O40" s="10">
        <f t="shared" si="0"/>
        <v>5058</v>
      </c>
      <c r="P40" s="10">
        <f t="shared" si="0"/>
        <v>53481521</v>
      </c>
      <c r="Q40" s="10">
        <f t="shared" si="0"/>
        <v>150500</v>
      </c>
      <c r="R40" s="10">
        <f t="shared" si="0"/>
        <v>631345</v>
      </c>
      <c r="S40" s="10">
        <f t="shared" si="0"/>
        <v>1973000</v>
      </c>
      <c r="T40" s="10">
        <f t="shared" si="0"/>
        <v>1859000</v>
      </c>
      <c r="U40" s="10">
        <f t="shared" si="0"/>
        <v>4613845</v>
      </c>
      <c r="V40" s="10">
        <f t="shared" si="0"/>
        <v>48867676</v>
      </c>
    </row>
    <row r="42" spans="1:22" x14ac:dyDescent="0.3">
      <c r="A42" s="11" t="s">
        <v>60</v>
      </c>
      <c r="B42" s="11" t="s">
        <v>61</v>
      </c>
      <c r="C42" s="11"/>
    </row>
    <row r="43" spans="1:22" x14ac:dyDescent="0.3">
      <c r="A43" s="6" t="s">
        <v>62</v>
      </c>
      <c r="B43" s="6" t="s">
        <v>63</v>
      </c>
      <c r="C43" s="10">
        <v>36606000</v>
      </c>
    </row>
    <row r="44" spans="1:22" x14ac:dyDescent="0.3">
      <c r="A44" s="6" t="s">
        <v>64</v>
      </c>
      <c r="B44" s="6" t="s">
        <v>65</v>
      </c>
      <c r="C44" s="10">
        <v>400000</v>
      </c>
    </row>
    <row r="45" spans="1:22" x14ac:dyDescent="0.3">
      <c r="A45" s="6" t="s">
        <v>66</v>
      </c>
      <c r="B45" s="6" t="s">
        <v>67</v>
      </c>
      <c r="C45" s="10">
        <v>700000</v>
      </c>
    </row>
    <row r="46" spans="1:22" x14ac:dyDescent="0.3">
      <c r="A46" s="6" t="s">
        <v>68</v>
      </c>
      <c r="B46" s="6" t="s">
        <v>69</v>
      </c>
      <c r="C46" s="10">
        <v>150500</v>
      </c>
    </row>
    <row r="47" spans="1:22" x14ac:dyDescent="0.3">
      <c r="A47" s="6" t="s">
        <v>70</v>
      </c>
      <c r="B47" s="6" t="s">
        <v>71</v>
      </c>
      <c r="C47" s="10">
        <v>631345</v>
      </c>
    </row>
    <row r="48" spans="1:22" x14ac:dyDescent="0.3">
      <c r="A48" s="6" t="s">
        <v>72</v>
      </c>
      <c r="B48" s="6" t="s">
        <v>73</v>
      </c>
      <c r="C48" s="10">
        <v>1464500</v>
      </c>
    </row>
    <row r="49" spans="1:4" x14ac:dyDescent="0.3">
      <c r="A49" s="6" t="s">
        <v>74</v>
      </c>
      <c r="B49" s="6" t="s">
        <v>75</v>
      </c>
      <c r="C49" s="10">
        <v>1350500</v>
      </c>
    </row>
    <row r="51" spans="1:4" x14ac:dyDescent="0.3">
      <c r="A51" s="11" t="s">
        <v>76</v>
      </c>
      <c r="B51" s="11" t="s">
        <v>77</v>
      </c>
      <c r="C51" s="11" t="s">
        <v>78</v>
      </c>
      <c r="D51" s="11"/>
    </row>
    <row r="52" spans="1:4" x14ac:dyDescent="0.3">
      <c r="A52" s="6" t="s">
        <v>79</v>
      </c>
      <c r="B52" s="6" t="s">
        <v>80</v>
      </c>
      <c r="C52" s="6" t="s">
        <v>81</v>
      </c>
      <c r="D52" s="10">
        <v>57000</v>
      </c>
    </row>
    <row r="53" spans="1:4" x14ac:dyDescent="0.3">
      <c r="A53" s="6" t="s">
        <v>82</v>
      </c>
      <c r="B53" s="6" t="s">
        <v>83</v>
      </c>
      <c r="C53" s="6" t="s">
        <v>81</v>
      </c>
      <c r="D53" s="10">
        <v>1407500</v>
      </c>
    </row>
    <row r="54" spans="1:4" x14ac:dyDescent="0.3">
      <c r="A54" s="6" t="s">
        <v>84</v>
      </c>
      <c r="B54" s="6" t="s">
        <v>85</v>
      </c>
      <c r="C54" s="6" t="s">
        <v>86</v>
      </c>
      <c r="D54" s="10">
        <v>480000</v>
      </c>
    </row>
    <row r="55" spans="1:4" x14ac:dyDescent="0.3">
      <c r="A55" s="6" t="s">
        <v>87</v>
      </c>
      <c r="B55" s="6" t="s">
        <v>88</v>
      </c>
      <c r="C55" s="6" t="s">
        <v>86</v>
      </c>
      <c r="D55" s="10">
        <v>1212700</v>
      </c>
    </row>
    <row r="56" spans="1:4" x14ac:dyDescent="0.3">
      <c r="A56" s="6" t="s">
        <v>89</v>
      </c>
      <c r="B56" s="6" t="s">
        <v>90</v>
      </c>
      <c r="C56" s="6" t="s">
        <v>86</v>
      </c>
      <c r="D56" s="10">
        <v>2358600</v>
      </c>
    </row>
    <row r="57" spans="1:4" x14ac:dyDescent="0.3">
      <c r="A57" s="6" t="s">
        <v>91</v>
      </c>
      <c r="B57" s="6" t="s">
        <v>92</v>
      </c>
      <c r="C57" s="6" t="s">
        <v>93</v>
      </c>
      <c r="D57" s="10">
        <v>1578900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1BB3-1F11-4DE4-942B-F49286174C77}">
  <dimension ref="A1"/>
  <sheetViews>
    <sheetView workbookViewId="0"/>
  </sheetViews>
  <sheetFormatPr baseColWidth="10"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039</vt:lpstr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</dc:creator>
  <cp:lastModifiedBy>Diana Claro</cp:lastModifiedBy>
  <dcterms:created xsi:type="dcterms:W3CDTF">2026-03-08T03:46:54Z</dcterms:created>
  <dcterms:modified xsi:type="dcterms:W3CDTF">2026-03-08T06:10:39Z</dcterms:modified>
</cp:coreProperties>
</file>